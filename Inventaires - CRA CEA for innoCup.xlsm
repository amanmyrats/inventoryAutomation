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YTK_Facturation\to\toInnoCup\Inwentar\"/>
    </mc:Choice>
  </mc:AlternateContent>
  <xr:revisionPtr revIDLastSave="0" documentId="13_ncr:1_{81C562A7-2796-4104-9453-344F9C1CA51A}" xr6:coauthVersionLast="45" xr6:coauthVersionMax="45" xr10:uidLastSave="{00000000-0000-0000-0000-000000000000}"/>
  <bookViews>
    <workbookView xWindow="-150" yWindow="240" windowWidth="56025" windowHeight="14745" tabRatio="756" xr2:uid="{00000000-000D-0000-FFFF-FFFF00000000}"/>
  </bookViews>
  <sheets>
    <sheet name="DATABASE" sheetId="69" r:id="rId1"/>
    <sheet name="AllZones" sheetId="72" r:id="rId2"/>
    <sheet name="format" sheetId="73" r:id="rId3"/>
    <sheet name="old format" sheetId="68" state="hidden" r:id="rId4"/>
    <sheet name="data" sheetId="70" r:id="rId5"/>
    <sheet name="cartouche" sheetId="74" r:id="rId6"/>
    <sheet name="cover" sheetId="75" r:id="rId7"/>
    <sheet name="test" sheetId="76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1" hidden="1">AllZones!$A$1:$U$27</definedName>
    <definedName name="_xlnm._FilterDatabase" localSheetId="0" hidden="1">DATABASE!$A$1:$AD$26</definedName>
    <definedName name="AVANCE">#REF!</definedName>
    <definedName name="BET_ESC">#REF!</definedName>
    <definedName name="BET_ESC_USD">#REF!</definedName>
    <definedName name="BET_PROP">#REF!</definedName>
    <definedName name="BET_PROP_USD">#REF!</definedName>
    <definedName name="BET_VOILES_USD">#REF!</definedName>
    <definedName name="cfa">#REF!</definedName>
    <definedName name="cfo">#REF!</definedName>
    <definedName name="CL_01">'[1]Prix figés'!#REF!</definedName>
    <definedName name="CL_02">'[1]Prix figés'!#REF!</definedName>
    <definedName name="Coef_PROD">#REF!</definedName>
    <definedName name="coeff110">[2]Coefficients!$L$3</definedName>
    <definedName name="coeff128">#REF!</definedName>
    <definedName name="CoefQt_01">#REF!</definedName>
    <definedName name="CoefQt_02">#REF!</definedName>
    <definedName name="CoefQt_02acier">#REF!</definedName>
    <definedName name="CoefQt_03">#REF!</definedName>
    <definedName name="CoefQt_03acier">#REF!</definedName>
    <definedName name="CoefQt_04">#REF!</definedName>
    <definedName name="CoefQt_05">#REF!</definedName>
    <definedName name="CoefQt_06">#REF!</definedName>
    <definedName name="CoefQt_08">#REF!</definedName>
    <definedName name="CoefQt_09">#REF!</definedName>
    <definedName name="CoefQt_10">#REF!</definedName>
    <definedName name="CoefQt_11">#REF!</definedName>
    <definedName name="CoefQt_12">#REF!</definedName>
    <definedName name="CoefQt_13">#REF!</definedName>
    <definedName name="CoefQt_14">#REF!</definedName>
    <definedName name="CoefQt_15">#REF!</definedName>
    <definedName name="CoefQt_16">#REF!</definedName>
    <definedName name="CoefQt_17">#REF!</definedName>
    <definedName name="CoefQt_20A">#REF!</definedName>
    <definedName name="CoefQt_20B">#REF!</definedName>
    <definedName name="CoefQt_20C">#REF!</definedName>
    <definedName name="CoefQt_21">#REF!</definedName>
    <definedName name="CoefQt_22">#REF!</definedName>
    <definedName name="CoefQt_23">#REF!</definedName>
    <definedName name="CoefQt_24">#REF!</definedName>
    <definedName name="CoefQt_25">#REF!</definedName>
    <definedName name="CoefQt_26">#REF!</definedName>
    <definedName name="CoefQt_27">#REF!</definedName>
    <definedName name="CoefQt_28">#REF!</definedName>
    <definedName name="CoefQt_29">#REF!</definedName>
    <definedName name="CoefQt_30">#REF!</definedName>
    <definedName name="CoefQt_31">#REF!</definedName>
    <definedName name="CoefQt_32">#REF!</definedName>
    <definedName name="CoefQt_33">#REF!</definedName>
    <definedName name="CoefQt_34">#REF!</definedName>
    <definedName name="CoefQt_34_ELEC">#REF!</definedName>
    <definedName name="CoefQt_35">#REF!</definedName>
    <definedName name="CoefQt_36">#REF!</definedName>
    <definedName name="CoefQt_37">#REF!</definedName>
    <definedName name="CoefQt_38">#REF!</definedName>
    <definedName name="CoefQt_39">#REF!</definedName>
    <definedName name="CoefQt_40">#REF!</definedName>
    <definedName name="CoefQt_40T">#REF!</definedName>
    <definedName name="CoefQt_41">#REF!</definedName>
    <definedName name="CoefQt_42">#REF!</definedName>
    <definedName name="CoefQt_43">#REF!</definedName>
    <definedName name="CoefQt_43a">#REF!</definedName>
    <definedName name="CoefQt_43b">#REF!</definedName>
    <definedName name="CoefQt_44">#REF!</definedName>
    <definedName name="CoefQt_45">#REF!</definedName>
    <definedName name="CoefQt_60">#REF!</definedName>
    <definedName name="CoefQt_70">#REF!</definedName>
    <definedName name="CoefQt_70P">#REF!</definedName>
    <definedName name="CoefQt_71">#REF!</definedName>
    <definedName name="CoefQt_72">#REF!</definedName>
    <definedName name="CoefQt_73">#REF!</definedName>
    <definedName name="CoefQt_74">#REF!</definedName>
    <definedName name="CoefQt_75">#REF!</definedName>
    <definedName name="CoefQt_76">#REF!</definedName>
    <definedName name="CoefQt_77">#REF!</definedName>
    <definedName name="CoefQt_80">#REF!</definedName>
    <definedName name="CoefQt_81">#REF!</definedName>
    <definedName name="CoefQt_82">#REF!</definedName>
    <definedName name="CoefQt_83">#REF!</definedName>
    <definedName name="CoefQt_84">#REF!</definedName>
    <definedName name="CoefQt_85">#REF!</definedName>
    <definedName name="CoefQt_86">#REF!</definedName>
    <definedName name="CoefQt_87">#REF!</definedName>
    <definedName name="CoefQt_88">#REF!</definedName>
    <definedName name="CoefQt_FND">#REF!</definedName>
    <definedName name="Coefqt_x">#REF!</definedName>
    <definedName name="coefVRD128">#REF!</definedName>
    <definedName name="COF_VOILE">#REF!</definedName>
    <definedName name="COF_VOILE_USD">#REF!</definedName>
    <definedName name="discount">#REF!</definedName>
    <definedName name="erreur">#REF!</definedName>
    <definedName name="FO_01">#REF!</definedName>
    <definedName name="FO_02">#REF!</definedName>
    <definedName name="FO_02_ACIER">#REF!</definedName>
    <definedName name="FO_03">#REF!</definedName>
    <definedName name="FO_03_ACIER">#REF!</definedName>
    <definedName name="FO_04">#REF!</definedName>
    <definedName name="FO_05">#REF!</definedName>
    <definedName name="FO_06">#REF!</definedName>
    <definedName name="FO_08">#REF!</definedName>
    <definedName name="FO_09">#REF!</definedName>
    <definedName name="FO_10">#REF!</definedName>
    <definedName name="FO_11">#REF!</definedName>
    <definedName name="FO_12">#REF!</definedName>
    <definedName name="FO_13">#REF!</definedName>
    <definedName name="FO_14">#REF!</definedName>
    <definedName name="FO_15">#REF!</definedName>
    <definedName name="FO_16">#REF!</definedName>
    <definedName name="FO_17">#REF!</definedName>
    <definedName name="FO_20A">#REF!</definedName>
    <definedName name="FO_20B">#REF!</definedName>
    <definedName name="FO_20C">#REF!</definedName>
    <definedName name="FO_21">#REF!</definedName>
    <definedName name="FO_22">#REF!</definedName>
    <definedName name="FO_23">#REF!</definedName>
    <definedName name="FO_24">#REF!</definedName>
    <definedName name="FO_25">#REF!</definedName>
    <definedName name="FO_26">#REF!</definedName>
    <definedName name="FO_27">#REF!</definedName>
    <definedName name="FO_28">#REF!</definedName>
    <definedName name="FO_29">#REF!</definedName>
    <definedName name="FO_30">#REF!</definedName>
    <definedName name="FO_31">#REF!</definedName>
    <definedName name="FO_32">#REF!</definedName>
    <definedName name="FO_33">#REF!</definedName>
    <definedName name="FO_34">#REF!</definedName>
    <definedName name="FO_34_ELEC">#REF!</definedName>
    <definedName name="FO_35">#REF!</definedName>
    <definedName name="FO_36">#REF!</definedName>
    <definedName name="FO_37">#REF!</definedName>
    <definedName name="FO_38">#REF!</definedName>
    <definedName name="FO_39">#REF!</definedName>
    <definedName name="FO_40">#REF!</definedName>
    <definedName name="FO_40_TRANS">#REF!</definedName>
    <definedName name="FO_40T">#REF!</definedName>
    <definedName name="FO_41">#REF!</definedName>
    <definedName name="FO_42">#REF!</definedName>
    <definedName name="FO_43">#REF!</definedName>
    <definedName name="FO_43a">#REF!</definedName>
    <definedName name="FO_43b">#REF!</definedName>
    <definedName name="FO_44">#REF!</definedName>
    <definedName name="FO_45">#REF!</definedName>
    <definedName name="FO_60">#REF!</definedName>
    <definedName name="FO_70">#REF!</definedName>
    <definedName name="FO_70_PRES">#REF!</definedName>
    <definedName name="FO_70P">#REF!</definedName>
    <definedName name="FO_71">#REF!</definedName>
    <definedName name="FO_72">#REF!</definedName>
    <definedName name="FO_73">#REF!</definedName>
    <definedName name="FO_74">#REF!</definedName>
    <definedName name="FO_75">#REF!</definedName>
    <definedName name="FO_76">#REF!</definedName>
    <definedName name="FO_77">#REF!</definedName>
    <definedName name="FO_78">#REF!</definedName>
    <definedName name="FO_80">#REF!</definedName>
    <definedName name="FO_81">#REF!</definedName>
    <definedName name="FO_81_GRAN">#REF!</definedName>
    <definedName name="FO_82">#REF!</definedName>
    <definedName name="FO_83_CEA_META">#REF!</definedName>
    <definedName name="FO_83_CEA_PIER">#REF!</definedName>
    <definedName name="FO_83_CEA_RAVA">#REF!</definedName>
    <definedName name="FO_83_GO">#REF!</definedName>
    <definedName name="FO_84">#REF!</definedName>
    <definedName name="FO_85">#REF!</definedName>
    <definedName name="FO_86">#REF!</definedName>
    <definedName name="FO_87">#REF!</definedName>
    <definedName name="FO_88">#REF!</definedName>
    <definedName name="FO_88_CARR">#REF!</definedName>
    <definedName name="FO_88_PIER">#REF!</definedName>
    <definedName name="FO_FND">#REF!</definedName>
    <definedName name="FO_SNT">#REF!</definedName>
    <definedName name="GROS_BET_USD">#REF!</definedName>
    <definedName name="LOCAL">#REF!</definedName>
    <definedName name="MO_01">#REF!</definedName>
    <definedName name="MO_02">#REF!</definedName>
    <definedName name="MO_02_ACIER">#REF!</definedName>
    <definedName name="MO_03">#REF!</definedName>
    <definedName name="MO_03_ACIER">#REF!</definedName>
    <definedName name="MO_04">#REF!</definedName>
    <definedName name="MO_05">#REF!</definedName>
    <definedName name="MO_06">#REF!</definedName>
    <definedName name="MO_08">#REF!</definedName>
    <definedName name="MO_09">#REF!</definedName>
    <definedName name="MO_10">#REF!</definedName>
    <definedName name="MO_11">#REF!</definedName>
    <definedName name="MO_12">#REF!</definedName>
    <definedName name="MO_13">#REF!</definedName>
    <definedName name="MO_14">#REF!</definedName>
    <definedName name="MO_15">#REF!</definedName>
    <definedName name="MO_16">#REF!</definedName>
    <definedName name="MO_17">#REF!</definedName>
    <definedName name="MO_20A">#REF!</definedName>
    <definedName name="MO_20B">#REF!</definedName>
    <definedName name="MO_20C">#REF!</definedName>
    <definedName name="MO_21">#REF!</definedName>
    <definedName name="MO_22">#REF!</definedName>
    <definedName name="MO_23">#REF!</definedName>
    <definedName name="MO_24">#REF!</definedName>
    <definedName name="MO_25">#REF!</definedName>
    <definedName name="MO_26">#REF!</definedName>
    <definedName name="MO_27">#REF!</definedName>
    <definedName name="MO_28">#REF!</definedName>
    <definedName name="MO_29">#REF!</definedName>
    <definedName name="MO_30">#REF!</definedName>
    <definedName name="MO_31">#REF!</definedName>
    <definedName name="MO_32">#REF!</definedName>
    <definedName name="MO_33">#REF!</definedName>
    <definedName name="MO_34">#REF!</definedName>
    <definedName name="MO_34_ELEC">#REF!</definedName>
    <definedName name="MO_35">#REF!</definedName>
    <definedName name="MO_36">#REF!</definedName>
    <definedName name="MO_37">#REF!</definedName>
    <definedName name="MO_38">#REF!</definedName>
    <definedName name="MO_39">#REF!</definedName>
    <definedName name="MO_40">#REF!</definedName>
    <definedName name="MO_40_TRANS">#REF!</definedName>
    <definedName name="MO_40T">#REF!</definedName>
    <definedName name="MO_41">#REF!</definedName>
    <definedName name="MO_42">#REF!</definedName>
    <definedName name="MO_43">#REF!</definedName>
    <definedName name="MO_43a">#REF!</definedName>
    <definedName name="MO_43b">#REF!</definedName>
    <definedName name="MO_44">#REF!</definedName>
    <definedName name="MO_45">#REF!</definedName>
    <definedName name="MO_60">#REF!</definedName>
    <definedName name="MO_70">#REF!</definedName>
    <definedName name="MO_70_PRES">#REF!</definedName>
    <definedName name="MO_70P">#REF!</definedName>
    <definedName name="MO_71">#REF!</definedName>
    <definedName name="MO_72">#REF!</definedName>
    <definedName name="MO_73">#REF!</definedName>
    <definedName name="MO_74">#REF!</definedName>
    <definedName name="MO_75">#REF!</definedName>
    <definedName name="MO_76">#REF!</definedName>
    <definedName name="MO_77">#REF!</definedName>
    <definedName name="MO_78">#REF!</definedName>
    <definedName name="MO_80">#REF!</definedName>
    <definedName name="MO_81">#REF!</definedName>
    <definedName name="MO_81_GRAN">#REF!</definedName>
    <definedName name="MO_82">#REF!</definedName>
    <definedName name="MO_83_CEA_META">#REF!</definedName>
    <definedName name="MO_83_CEA_RAVA">#REF!</definedName>
    <definedName name="MO_83_GO">#REF!</definedName>
    <definedName name="MO_84">#REF!</definedName>
    <definedName name="MO_85">#REF!</definedName>
    <definedName name="MO_86">#REF!</definedName>
    <definedName name="MO_87">#REF!</definedName>
    <definedName name="MO_88">#REF!</definedName>
    <definedName name="MO_88_CARR">#REF!</definedName>
    <definedName name="MO_88_PIER">#REF!</definedName>
    <definedName name="MO_FND">#REF!</definedName>
    <definedName name="MO_SNT">#REF!</definedName>
    <definedName name="Parité">#REF!</definedName>
    <definedName name="PC_10_USD">#REF!</definedName>
    <definedName name="PC_15">#REF!</definedName>
    <definedName name="PC_15_FO_USD">#REF!</definedName>
    <definedName name="PC_15_MO_USD">#REF!</definedName>
    <definedName name="PC_15_USD">#REF!</definedName>
    <definedName name="PC_20_USD">#REF!</definedName>
    <definedName name="PF_ACI_FO_EUR">#REF!</definedName>
    <definedName name="PF_ACI_FO_USD">#REF!</definedName>
    <definedName name="PF_ACI_MO_EUR">#REF!</definedName>
    <definedName name="PF_ACI_MO_USD">#REF!</definedName>
    <definedName name="PF_ACI_TO_EUR">#REF!</definedName>
    <definedName name="PF_ACI_TO_USD">#REF!</definedName>
    <definedName name="PF_ACI_TR_EUR">#REF!</definedName>
    <definedName name="PF_ACI_TR_USD">#REF!</definedName>
    <definedName name="PF_BET_ESC_FO_EUR">#REF!</definedName>
    <definedName name="PF_BET_ESC_FO_USD">#REF!</definedName>
    <definedName name="PF_BET_ESC_MO_EUR">#REF!</definedName>
    <definedName name="PF_BET_ESC_MO_USD">#REF!</definedName>
    <definedName name="PF_BET_ESC_TO_EUR">#REF!</definedName>
    <definedName name="PF_BET_ESC_TO_USD">#REF!</definedName>
    <definedName name="PF_BET_ESC_TR_EUR">#REF!</definedName>
    <definedName name="PF_BET_ESC_TR_USD">#REF!</definedName>
    <definedName name="PF_BET_GRO_FO_EUR">#REF!</definedName>
    <definedName name="PF_BET_GRO_FO_USD">#REF!</definedName>
    <definedName name="PF_BET_GRO_MO_EUR">#REF!</definedName>
    <definedName name="PF_BET_GRO_MO_USD">#REF!</definedName>
    <definedName name="PF_BET_GRO_TO_EUR">#REF!</definedName>
    <definedName name="PF_BET_GRO_TO_USD">#REF!</definedName>
    <definedName name="PF_BET_GRO_TR_EUR">#REF!</definedName>
    <definedName name="PF_BET_GRO_TR_USD">#REF!</definedName>
    <definedName name="PF_BET_PRO_FO_EUR">#REF!</definedName>
    <definedName name="PF_BET_PRO_FO_USD">#REF!</definedName>
    <definedName name="PF_BET_PRO_MO_EUR">#REF!</definedName>
    <definedName name="PF_BET_PRO_MO_USD">#REF!</definedName>
    <definedName name="PF_BET_PRO_TO_EUR">#REF!</definedName>
    <definedName name="PF_BET_PRO_TO_USD">#REF!</definedName>
    <definedName name="PF_BET_PRO_TR_EUR">#REF!</definedName>
    <definedName name="PF_BET_PRO_TR_USD">#REF!</definedName>
    <definedName name="PF_BET_STR_FO_EUR">#REF!</definedName>
    <definedName name="PF_BET_STR_FO_USD">#REF!</definedName>
    <definedName name="PF_BET_STR_MO_EUR">#REF!</definedName>
    <definedName name="PF_BET_STR_MO_USD">#REF!</definedName>
    <definedName name="PF_BET_STR_TO_EUR">#REF!</definedName>
    <definedName name="PF_BET_STR_TO_USD">#REF!</definedName>
    <definedName name="PF_BET_STR_TR_EUR">#REF!</definedName>
    <definedName name="PF_BET_STR_TR_USD">#REF!</definedName>
    <definedName name="PF_BOG_PO">#REF!</definedName>
    <definedName name="PF_BOM_PO">#REF!</definedName>
    <definedName name="PF_BP">#REF!</definedName>
    <definedName name="PF_BST_FO">#REF!</definedName>
    <definedName name="PF_BST_PO">#REF!</definedName>
    <definedName name="PF_COF_VOI_FO_EUR">#REF!</definedName>
    <definedName name="PF_COF_VOI_FO_USD">#REF!</definedName>
    <definedName name="PF_COF_VOI_MO_EUR">#REF!</definedName>
    <definedName name="PF_COF_VOI_MO_USD">#REF!</definedName>
    <definedName name="PF_COF_VOI_TO_EUR">#REF!</definedName>
    <definedName name="PF_COF_VOI_TO_USD">#REF!</definedName>
    <definedName name="PF_COF_VOI_TR_EUR">#REF!</definedName>
    <definedName name="PF_COF_VOI_TR_USD">#REF!</definedName>
    <definedName name="PF_CV">#REF!</definedName>
    <definedName name="PF_ETA_ACI_FO_EUR">#REF!</definedName>
    <definedName name="PF_ETA_ACI_FO_USD">#REF!</definedName>
    <definedName name="PF_ETA_ACI_MO_EUR">#REF!</definedName>
    <definedName name="PF_ETA_ACI_MO_USD">#REF!</definedName>
    <definedName name="PF_ETA_ACI_TR_EUR">#REF!</definedName>
    <definedName name="PF_ETA_ACI_TR_USD">#REF!</definedName>
    <definedName name="PF_ETA_GRA_FO_EUR">#REF!</definedName>
    <definedName name="PF_ETA_GRA_FO_USD">#REF!</definedName>
    <definedName name="PF_ETA_GRA_MO_EUR">#REF!</definedName>
    <definedName name="PF_ETA_GRA_MO_USD">#REF!</definedName>
    <definedName name="PF_ETA_GRA_TR_EUR">#REF!</definedName>
    <definedName name="PF_ETA_GRA_TR_USD">#REF!</definedName>
    <definedName name="PF_ETA_INS_FO_EUR">#REF!</definedName>
    <definedName name="PF_ETA_INS_FO_USD">#REF!</definedName>
    <definedName name="PF_ETA_INS_MO_EUR">#REF!</definedName>
    <definedName name="PF_ETA_INS_MO_USD">#REF!</definedName>
    <definedName name="PF_ETA_INS_TR_EUR">#REF!</definedName>
    <definedName name="PF_ETA_INS_TR_USD">#REF!</definedName>
    <definedName name="PF_ETA_JDI_FO_EUR">#REF!</definedName>
    <definedName name="PF_ETA_JDI_FO_USD">#REF!</definedName>
    <definedName name="PF_ETA_JDI_MO_EUR">#REF!</definedName>
    <definedName name="PF_ETA_JDI_MO_USD">#REF!</definedName>
    <definedName name="PF_ETA_JDI_TR_EUR">#REF!</definedName>
    <definedName name="PF_ETA_JDI_TR_USD">#REF!</definedName>
    <definedName name="PF_ETA_NIN_FO_EUR">#REF!</definedName>
    <definedName name="PF_ETA_NIN_FO_USD">#REF!</definedName>
    <definedName name="PF_ETA_NIN_MO_EUR">#REF!</definedName>
    <definedName name="PF_ETA_NIN_MO_USD">#REF!</definedName>
    <definedName name="PF_ETA_NIN_TR_EUR">#REF!</definedName>
    <definedName name="PF_ETA_NIN_TR_USD">#REF!</definedName>
    <definedName name="PF_ETA_PRO_FO_EUR">#REF!</definedName>
    <definedName name="PF_ETA_PRO_FO_USD">#REF!</definedName>
    <definedName name="PF_ETA_PRO_MO_EUR">#REF!</definedName>
    <definedName name="PF_ETA_PRO_MO_USD">#REF!</definedName>
    <definedName name="PF_ETA_PRO_TR_EUR">#REF!</definedName>
    <definedName name="PF_ETA_PRO_TR_USD">#REF!</definedName>
    <definedName name="PF_ETA_REL_FO_EUR">#REF!</definedName>
    <definedName name="PF_ETA_REL_FO_USD">#REF!</definedName>
    <definedName name="PF_ETA_REL_MO_EUR">#REF!</definedName>
    <definedName name="PF_ETA_REL_MO_USD">#REF!</definedName>
    <definedName name="PF_ETA_REL_TR_EUR">#REF!</definedName>
    <definedName name="PF_ETA_REL_TR_USD">#REF!</definedName>
    <definedName name="PF_ETA_RET_FO_EUR">#REF!</definedName>
    <definedName name="PF_ETA_RET_FO_USD">#REF!</definedName>
    <definedName name="PF_ETA_RET_MO_EUR">#REF!</definedName>
    <definedName name="PF_ETA_RET_MO_USD">#REF!</definedName>
    <definedName name="PF_ETA_RET_TR_EUR">#REF!</definedName>
    <definedName name="PF_ETA_RET_TR_USD">#REF!</definedName>
    <definedName name="PF_FAC_AGRA_FO_EUR">#REF!</definedName>
    <definedName name="PF_FAC_AGRA_FO_USD">#REF!</definedName>
    <definedName name="PF_FAC_AGRA_MO_EUR">#REF!</definedName>
    <definedName name="PF_FAC_AGRA_MO_USD">#REF!</definedName>
    <definedName name="PF_FAC_AGRA_TO_EUR">#REF!</definedName>
    <definedName name="PF_FAC_AGRA_TO_USD">#REF!</definedName>
    <definedName name="PF_FAC_AGRA_TR_EUR">#REF!</definedName>
    <definedName name="PF_FAC_AGRA_TR_USD">#REF!</definedName>
    <definedName name="PF_FAC_BECG_FO_EUR">#REF!</definedName>
    <definedName name="PF_FAC_BECG_FO_USD">#REF!</definedName>
    <definedName name="PF_FAC_BECG_MO_EUR">#REF!</definedName>
    <definedName name="PF_FAC_BECG_MO_USD">#REF!</definedName>
    <definedName name="PF_FAC_BECG_TO_EUR">#REF!</definedName>
    <definedName name="PF_FAC_BECG_TO_USD">#REF!</definedName>
    <definedName name="PF_FAC_BECG_TR_EUR">#REF!</definedName>
    <definedName name="PF_FAC_BECG_TR_USD">#REF!</definedName>
    <definedName name="PF_FAC_BECM_FO_EUR">#REF!</definedName>
    <definedName name="PF_FAC_BECM_FO_USD">#REF!</definedName>
    <definedName name="PF_FAC_BECM_MO_EUR">#REF!</definedName>
    <definedName name="PF_FAC_BECM_MO_USD">#REF!</definedName>
    <definedName name="PF_FAC_BECM_TO_EUR">#REF!</definedName>
    <definedName name="PF_FAC_BECM_TO_USD">#REF!</definedName>
    <definedName name="PF_FAC_BECM_TR_EUR">#REF!</definedName>
    <definedName name="PF_FAC_BECM_TR_USD">#REF!</definedName>
    <definedName name="PF_FAC_FA01_FO_EUR">#REF!</definedName>
    <definedName name="PF_FAC_FA01_FO_USD">#REF!</definedName>
    <definedName name="PF_FAC_FA01_MO_EUR">#REF!</definedName>
    <definedName name="PF_FAC_FA01_MO_USD">#REF!</definedName>
    <definedName name="PF_FAC_FA01_TO_EUR">#REF!</definedName>
    <definedName name="PF_FAC_FA01_TO_USD">#REF!</definedName>
    <definedName name="PF_FAC_FA01_TR_EUR">#REF!</definedName>
    <definedName name="PF_FAC_FA01_TR_USD">#REF!</definedName>
    <definedName name="PF_FAC_FA01M_FO_EUR">#REF!</definedName>
    <definedName name="PF_FAC_FA01M_FO_USD">#REF!</definedName>
    <definedName name="PF_FAC_FA01M_MO_EUR">#REF!</definedName>
    <definedName name="PF_FAC_FA01M_MO_USD">#REF!</definedName>
    <definedName name="PF_FAC_FA01M_TO_EUR">#REF!</definedName>
    <definedName name="PF_FAC_FA01M_TO_USD">#REF!</definedName>
    <definedName name="PF_FAC_FA01M_TR_EUR">#REF!</definedName>
    <definedName name="PF_FAC_FA01M_TR_USD">#REF!</definedName>
    <definedName name="PF_FAC_FA02B_FO_EUR">#REF!</definedName>
    <definedName name="PF_FAC_FA02B_FO_USD">#REF!</definedName>
    <definedName name="PF_FAC_FA02B_MO_EUR">#REF!</definedName>
    <definedName name="PF_FAC_FA02B_MO_USD">#REF!</definedName>
    <definedName name="PF_FAC_FA02B_TO_EUR">#REF!</definedName>
    <definedName name="PF_FAC_FA02B_TO_USD">#REF!</definedName>
    <definedName name="PF_FAC_FA02B_TR_EUR">#REF!</definedName>
    <definedName name="PF_FAC_FA02B_TR_USD">#REF!</definedName>
    <definedName name="PF_FAC_FA05_FO_EUR">#REF!</definedName>
    <definedName name="PF_FAC_FA05_FO_USD">#REF!</definedName>
    <definedName name="PF_FAC_FA05_MO_EUR">#REF!</definedName>
    <definedName name="PF_FAC_FA05_MO_USD">#REF!</definedName>
    <definedName name="PF_FAC_FA05_TO_EUR">#REF!</definedName>
    <definedName name="PF_FAC_FA05_TO_USD">#REF!</definedName>
    <definedName name="PF_FAC_FA05_TR_EUR">#REF!</definedName>
    <definedName name="PF_FAC_FA05_TR_USD">#REF!</definedName>
    <definedName name="PF_FAC_FA06_FO_EUR">#REF!</definedName>
    <definedName name="PF_FAC_FA06_FO_USD">#REF!</definedName>
    <definedName name="PF_FAC_FA06_MO_EUR">#REF!</definedName>
    <definedName name="PF_FAC_FA06_MO_USD">#REF!</definedName>
    <definedName name="PF_FAC_FA06_TO_EUR">#REF!</definedName>
    <definedName name="PF_FAC_FA06_TO_USD">#REF!</definedName>
    <definedName name="PF_FAC_FA06_TR_EUR">#REF!</definedName>
    <definedName name="PF_FAC_FA06_TR_USD">#REF!</definedName>
    <definedName name="PF_FAC_FA10_FO_EUR">#REF!</definedName>
    <definedName name="PF_FAC_FA10_FO_USD">#REF!</definedName>
    <definedName name="PF_FAC_FA10_MO_EUR">#REF!</definedName>
    <definedName name="PF_FAC_FA10_MO_USD">#REF!</definedName>
    <definedName name="PF_FAC_FA10_TO_EUR">#REF!</definedName>
    <definedName name="PF_FAC_FA10_TO_USD">#REF!</definedName>
    <definedName name="PF_FAC_FA10_TR_EUR">#REF!</definedName>
    <definedName name="PF_FAC_FA10_TR_USD">#REF!</definedName>
    <definedName name="PF_FAC_FA31A_FO_EUR">#REF!</definedName>
    <definedName name="PF_FAC_FA31A_FO_USD">#REF!</definedName>
    <definedName name="PF_FAC_FA31A_MO_EUR">#REF!</definedName>
    <definedName name="PF_FAC_FA31A_MO_USD">#REF!</definedName>
    <definedName name="PF_FAC_FA31A_TO_EUR">#REF!</definedName>
    <definedName name="PF_FAC_FA31A_TO_USD">#REF!</definedName>
    <definedName name="PF_FAC_FA31A_TR_EUR">#REF!</definedName>
    <definedName name="PF_FAC_FA31A_TR_USD">#REF!</definedName>
    <definedName name="PF_FAC_ISOL_FO_EUR">#REF!</definedName>
    <definedName name="PF_FAC_ISOL_FO_USD">#REF!</definedName>
    <definedName name="PF_FAC_ISOL_MO_EUR">#REF!</definedName>
    <definedName name="PF_FAC_ISOL_MO_USD">#REF!</definedName>
    <definedName name="PF_FAC_ISOL_TO_EUR">#REF!</definedName>
    <definedName name="PF_FAC_ISOL_TO_USD">#REF!</definedName>
    <definedName name="PF_FAC_ISOL_TR_EUR">#REF!</definedName>
    <definedName name="PF_FAC_ISOL_TR_USD">#REF!</definedName>
    <definedName name="PF_FAC_ME05a_TO_EUR">#REF!</definedName>
    <definedName name="PF_FAC_ME05a_TO_USD">#REF!</definedName>
    <definedName name="PF_FAC_ME05a_TR_EUR">#REF!</definedName>
    <definedName name="PF_FAC_ME05a_TR_USD">#REF!</definedName>
    <definedName name="PF_FAC_MED01_FO_EUR">#REF!</definedName>
    <definedName name="PF_FAC_MED01_FO_USD">#REF!</definedName>
    <definedName name="PF_FAC_MED01_MO_EUR">#REF!</definedName>
    <definedName name="PF_FAC_MED01_MO_USD">#REF!</definedName>
    <definedName name="PF_FAC_MED01_TO_EUR">#REF!</definedName>
    <definedName name="PF_FAC_MED01_TO_USD">#REF!</definedName>
    <definedName name="PF_FAC_MED01_TR_EUR">#REF!</definedName>
    <definedName name="PF_FAC_MED01_TR_USD">#REF!</definedName>
    <definedName name="PF_FAC_MS03a_FO_EUR">#REF!</definedName>
    <definedName name="PF_FAC_MS03a_FO_USD">#REF!</definedName>
    <definedName name="PF_FAC_MS03a_MO_EUR">#REF!</definedName>
    <definedName name="PF_FAC_MS03a_MO_USD">#REF!</definedName>
    <definedName name="PF_FAC_MS03a_TO_EUR">#REF!</definedName>
    <definedName name="PF_FAC_MS03a_TO_USD">#REF!</definedName>
    <definedName name="PF_FAC_MS03a_TR_EUR">#REF!</definedName>
    <definedName name="PF_FAC_MS03a_TR_USD">#REF!</definedName>
    <definedName name="PF_FAC_MS03b_FO_EUR">#REF!</definedName>
    <definedName name="PF_FAC_MS03b_FO_USD">#REF!</definedName>
    <definedName name="PF_FAC_MS03b_MO_EUR">#REF!</definedName>
    <definedName name="PF_FAC_MS03b_MO_USD">#REF!</definedName>
    <definedName name="PF_FAC_MS03b_TO_EUR">#REF!</definedName>
    <definedName name="PF_FAC_MS03b_TO_USD">#REF!</definedName>
    <definedName name="PF_FAC_MS03b_TR_EUR">#REF!</definedName>
    <definedName name="PF_FAC_MS03b_TR_USD">#REF!</definedName>
    <definedName name="PF_FAC_SE01_FO_EUR">#REF!</definedName>
    <definedName name="PF_FAC_SE01_FO_USD">#REF!</definedName>
    <definedName name="PF_FAC_SE01_MO_EUR">#REF!</definedName>
    <definedName name="PF_FAC_SE01_MO_USD">#REF!</definedName>
    <definedName name="PF_FAC_SE01_TO_EUR">#REF!</definedName>
    <definedName name="PF_FAC_SE01_TO_USD">#REF!</definedName>
    <definedName name="PF_FAC_SE01_TR_EUR">#REF!</definedName>
    <definedName name="PF_FAC_SE01_TR_USD">#REF!</definedName>
    <definedName name="PF_FIN_STAF_FO_EUR">#REF!</definedName>
    <definedName name="PF_FIN_STAF_FO_USD">#REF!</definedName>
    <definedName name="PF_FIN_STAF_MO_EUR">#REF!</definedName>
    <definedName name="PF_FIN_STAF_MO_USD">#REF!</definedName>
    <definedName name="PF_FIN_STAF_TO_EUR">#REF!</definedName>
    <definedName name="PF_FIN_STAF_TO_USD">#REF!</definedName>
    <definedName name="PF_FIN_STAF_TR_EUR">#REF!</definedName>
    <definedName name="PF_FIN_STAF_TR_USD">#REF!</definedName>
    <definedName name="PF_FO_Acier">#REF!</definedName>
    <definedName name="PF_FO_Ag">#REF!</definedName>
    <definedName name="PF_FO_Isol">#REF!</definedName>
    <definedName name="PF_GB">#REF!</definedName>
    <definedName name="PF_GR_FO">#REF!</definedName>
    <definedName name="PF_GR_PO">#REF!</definedName>
    <definedName name="PF_MB_FO">#REF!</definedName>
    <definedName name="PF_MB_PO">#REF!</definedName>
    <definedName name="PF_PC_10C_FO_EUR">#REF!</definedName>
    <definedName name="PF_PC_10C_FO_USD">#REF!</definedName>
    <definedName name="PF_PC_10C_MO_EUR">#REF!</definedName>
    <definedName name="PF_PC_10C_MO_USD">#REF!</definedName>
    <definedName name="PF_PC_10C_TO_EUR">#REF!</definedName>
    <definedName name="PF_PC_10C_TO_USD">#REF!</definedName>
    <definedName name="PF_PC_10C_TR_EUR">#REF!</definedName>
    <definedName name="PF_PC_10C_TR_USD">#REF!</definedName>
    <definedName name="PF_PC_15C_FO_EUR">#REF!</definedName>
    <definedName name="PF_PC_15C_FO_USD">#REF!</definedName>
    <definedName name="PF_PC_15C_MO_EUR">#REF!</definedName>
    <definedName name="PF_PC_15C_MO_USD">#REF!</definedName>
    <definedName name="PF_PC_15C_TO_EUR">#REF!</definedName>
    <definedName name="PF_PC_15C_TO_USD">#REF!</definedName>
    <definedName name="PF_PC_15C_TR_EUR">#REF!</definedName>
    <definedName name="PF_PC_15C_TR_USD">#REF!</definedName>
    <definedName name="PF_PC_20C_FO_EUR">#REF!</definedName>
    <definedName name="PF_PC_20C_FO_USD">#REF!</definedName>
    <definedName name="PF_PC_20C_MO_EUR">#REF!</definedName>
    <definedName name="PF_PC_20C_MO_USD">#REF!</definedName>
    <definedName name="PF_PC_20C_TO_EUR">#REF!</definedName>
    <definedName name="PF_PC_20C_TO_USD">#REF!</definedName>
    <definedName name="PF_PC_20C_TR_EUR">#REF!</definedName>
    <definedName name="PF_PC_20C_TR_USD">#REF!</definedName>
    <definedName name="PF_PC20">#REF!</definedName>
    <definedName name="PF_PO_Aciers">#REF!</definedName>
    <definedName name="PF_PP_20C_FO_EUR">#REF!</definedName>
    <definedName name="PF_PP_20C_FO_USD">#REF!</definedName>
    <definedName name="PF_PP_20C_MO_EUR">#REF!</definedName>
    <definedName name="PF_PP_20C_MO_USD">#REF!</definedName>
    <definedName name="PF_PP_20C_TO_EUR">#REF!</definedName>
    <definedName name="PF_PP_20C_TO_USD">#REF!</definedName>
    <definedName name="PF_PP_20C_TR_EUR">#REF!</definedName>
    <definedName name="PF_PP_20C_TR_USD">#REF!</definedName>
    <definedName name="PF_ST_PO">#REF!</definedName>
    <definedName name="PF_TR_Aciers">#REF!</definedName>
    <definedName name="PF_TR_Ag">#REF!</definedName>
    <definedName name="PF_TR_GR">#REF!</definedName>
    <definedName name="PF_TR_Isol">#REF!</definedName>
    <definedName name="PF_TR_MB">#REF!</definedName>
    <definedName name="PF_VRD_DEBL_FO_EUR">#REF!</definedName>
    <definedName name="PF_VRD_DEBL_FO_USD">#REF!</definedName>
    <definedName name="PF_VRD_DEBL_MO_EUR">#REF!</definedName>
    <definedName name="PF_VRD_DEBL_MO_USD">#REF!</definedName>
    <definedName name="PF_VRD_DEBL_TO_EUR">#REF!</definedName>
    <definedName name="PF_VRD_DEBL_TO_USD">#REF!</definedName>
    <definedName name="PF_VRD_DEBL_TR_EUR">#REF!</definedName>
    <definedName name="PF_VRD_DEBL_TR_USD">#REF!</definedName>
    <definedName name="PF_VRD_REMB_FO_EUR">#REF!</definedName>
    <definedName name="PF_VRD_REMB_FO_USD">#REF!</definedName>
    <definedName name="PF_VRD_REMB_MO_EUR">#REF!</definedName>
    <definedName name="PF_VRD_REMB_MO_USD">#REF!</definedName>
    <definedName name="PF_VRD_REMB_TO_EUR">#REF!</definedName>
    <definedName name="PF_VRD_REMB_TO_USD">#REF!</definedName>
    <definedName name="PF_VRD_REMB_TR_EUR">#REF!</definedName>
    <definedName name="PF_VRD_REMB_TR_USD">#REF!</definedName>
    <definedName name="PRELIM_MONT_LEV_03">#REF!</definedName>
    <definedName name="PRELIM_MONT_LEV_04">#REF!</definedName>
    <definedName name="PRELIM_MONT_LEV_08">#REF!</definedName>
    <definedName name="PRELIM_MONT_LEV_09">#REF!</definedName>
    <definedName name="PRELIM_MONT_LEV_11">#REF!</definedName>
    <definedName name="PRELIM_MONT_LEV_15">#REF!</definedName>
    <definedName name="PRELIM_MONT_PRO_03">#REF!</definedName>
    <definedName name="PRELIM_MONT_PRO_04">#REF!</definedName>
    <definedName name="PRELIM_MONT_PRO_08">#REF!</definedName>
    <definedName name="PRELIM_MONT_PRO_09">#REF!</definedName>
    <definedName name="PRELIM_MONT_PRO_11">#REF!</definedName>
    <definedName name="PRELIM_MONT_PRO_15">#REF!</definedName>
    <definedName name="PRELIM_POUR_LEV_03">#REF!</definedName>
    <definedName name="PRELIM_POUR_LEV_04">#REF!</definedName>
    <definedName name="PRELIM_POUR_LEV_08">#REF!</definedName>
    <definedName name="PRELIM_POUR_LEV_09">#REF!</definedName>
    <definedName name="PRELIM_POUR_LEV_11">#REF!</definedName>
    <definedName name="PRELIM_POUR_LEV_15">#REF!</definedName>
    <definedName name="PRELIM_POUR_PRO_03">#REF!</definedName>
    <definedName name="PRELIM_POUR_PRO_04">#REF!</definedName>
    <definedName name="PRELIM_POUR_PRO_08">#REF!</definedName>
    <definedName name="PRELIM_POUR_PRO_09">#REF!</definedName>
    <definedName name="PRELIM_POUR_PRO_11">#REF!</definedName>
    <definedName name="PRELIM_POUR_PRO_15">#REF!</definedName>
    <definedName name="_xlnm.Print_Area" localSheetId="5">cartouche!$A$1:$W$54</definedName>
    <definedName name="_xlnm.Print_Area" localSheetId="6">cover!$A$1:$D$37</definedName>
    <definedName name="_xlnm.Print_Area" localSheetId="2">format!$A$1:$J$232</definedName>
    <definedName name="_xlnm.Print_Area" localSheetId="3">'old format'!$A$1:$L$227</definedName>
    <definedName name="_xlnm.Print_Titles" localSheetId="2">format!$22:$22</definedName>
    <definedName name="_xlnm.Print_Titles" localSheetId="3">'old format'!$21:$21</definedName>
    <definedName name="PU_Acier_USD">#REF!</definedName>
    <definedName name="QTE_01">#REF!</definedName>
    <definedName name="QTE_02">#REF!</definedName>
    <definedName name="QTE_02_ACIER">#REF!</definedName>
    <definedName name="QTE_03">#REF!</definedName>
    <definedName name="QTE_03_ACIER">#REF!</definedName>
    <definedName name="QTE_04">#REF!</definedName>
    <definedName name="QTE_05">#REF!</definedName>
    <definedName name="QTE_06">#REF!</definedName>
    <definedName name="QTE_08">#REF!</definedName>
    <definedName name="QTE_09">#REF!</definedName>
    <definedName name="QTE_10">#REF!</definedName>
    <definedName name="QTE_11">#REF!</definedName>
    <definedName name="QTE_12">#REF!</definedName>
    <definedName name="QTE_13">#REF!</definedName>
    <definedName name="QTE_14">#REF!</definedName>
    <definedName name="QTE_15">#REF!</definedName>
    <definedName name="QTE_16">#REF!</definedName>
    <definedName name="QTE_17">#REF!</definedName>
    <definedName name="QTE_20A">#REF!</definedName>
    <definedName name="QTE_20B">#REF!</definedName>
    <definedName name="QTE_20C">#REF!</definedName>
    <definedName name="QTE_21">#REF!</definedName>
    <definedName name="QTE_22">#REF!</definedName>
    <definedName name="QTE_23">#REF!</definedName>
    <definedName name="QTE_24">#REF!</definedName>
    <definedName name="QTE_25">#REF!</definedName>
    <definedName name="QTE_26">#REF!</definedName>
    <definedName name="QTE_27">#REF!</definedName>
    <definedName name="QTE_28">#REF!</definedName>
    <definedName name="QTE_29">#REF!</definedName>
    <definedName name="QTE_30">#REF!</definedName>
    <definedName name="QTE_31">#REF!</definedName>
    <definedName name="QTE_32">#REF!</definedName>
    <definedName name="QTE_33">#REF!</definedName>
    <definedName name="QTE_34">#REF!</definedName>
    <definedName name="QTE_34_ELEC">#REF!</definedName>
    <definedName name="QTE_35">#REF!</definedName>
    <definedName name="QTE_36">#REF!</definedName>
    <definedName name="QTE_37">#REF!</definedName>
    <definedName name="QTE_38">#REF!</definedName>
    <definedName name="QTE_39">#REF!</definedName>
    <definedName name="QTE_40">#REF!</definedName>
    <definedName name="QTE_40_TRANS">#REF!</definedName>
    <definedName name="QTE_41">#REF!</definedName>
    <definedName name="QTE_42">#REF!</definedName>
    <definedName name="QTE_43">#REF!</definedName>
    <definedName name="QTE_44">#REF!</definedName>
    <definedName name="QTE_60">#REF!</definedName>
    <definedName name="QTE_70">#REF!</definedName>
    <definedName name="QTE_70_PRES">#REF!</definedName>
    <definedName name="QTE_71">#REF!</definedName>
    <definedName name="QTE_72">#REF!</definedName>
    <definedName name="QTE_73">#REF!</definedName>
    <definedName name="QTE_76">#REF!</definedName>
    <definedName name="QTE_78">#REF!</definedName>
    <definedName name="QTE_80">#REF!</definedName>
    <definedName name="QTE_81">#REF!</definedName>
    <definedName name="QTE_81_GRAN">#REF!</definedName>
    <definedName name="QTE_82">#REF!</definedName>
    <definedName name="QTE_83_CEA_META">#REF!</definedName>
    <definedName name="QTE_83_CEA_PIER">#REF!</definedName>
    <definedName name="QTE_83_CEA_RAVA">#REF!</definedName>
    <definedName name="QTE_83_GO">#REF!</definedName>
    <definedName name="QTE_84">#REF!</definedName>
    <definedName name="QTE_85">#REF!</definedName>
    <definedName name="QTE_86">#REF!</definedName>
    <definedName name="QTE_87">#REF!</definedName>
    <definedName name="QTE_88_CARR">#REF!</definedName>
    <definedName name="QTE_88_PIER">#REF!</definedName>
    <definedName name="QTE_FND">#REF!</definedName>
    <definedName name="QTE_SNT">#REF!</definedName>
    <definedName name="RECAP_BA">'[3]Recap bâtiment'!$M$83</definedName>
    <definedName name="RECAP_TOTAL">'[3]Recap bâtiment'!$M$105</definedName>
    <definedName name="RECAP_VRD">'[3]Recap bâtiment'!$M$102</definedName>
    <definedName name="rngClient">format!$H$230</definedName>
    <definedName name="rngContractor">format!$A$230</definedName>
    <definedName name="rngExploitant">format!$D$230</definedName>
    <definedName name="rngPlanImage">format!$A$5:$J$21</definedName>
    <definedName name="rngRepresentantBYTK">format!$A$226</definedName>
    <definedName name="rngRepresentantCLIENT">format!$D$226</definedName>
    <definedName name="TOT_DS_LOT_01">#REF!</definedName>
    <definedName name="TOT_DS_LOT_02">#REF!</definedName>
    <definedName name="TOT_DS_LOT_03">#REF!</definedName>
    <definedName name="TOT_DS_LOT_04">#REF!</definedName>
    <definedName name="TOT_DS_LOT_05">#REF!</definedName>
    <definedName name="TOT_DS_LOT_06">#REF!</definedName>
    <definedName name="TOT_DS_LOT_08">#REF!</definedName>
    <definedName name="TOT_DS_LOT_09">#REF!</definedName>
    <definedName name="TOT_DS_LOT_11">#REF!</definedName>
    <definedName name="TOT_DS_LOT_12">#REF!</definedName>
    <definedName name="TOT_DS_LOT_13">#REF!</definedName>
    <definedName name="TOT_DS_LOT_14">#REF!</definedName>
    <definedName name="TOT_DS_LOT_15">#REF!</definedName>
    <definedName name="TOT_DS_LOT_16">#REF!</definedName>
    <definedName name="TOT_DS_LOT_17">#REF!</definedName>
    <definedName name="TOT_DS_LOT_20A">#REF!</definedName>
    <definedName name="TOT_DS_LOT_20B">#REF!</definedName>
    <definedName name="TOT_DS_LOT_20C">#REF!</definedName>
    <definedName name="TOT_DS_LOT_21">#REF!</definedName>
    <definedName name="TOT_DS_LOT_22">#REF!</definedName>
    <definedName name="TOT_DS_LOT_23">#REF!</definedName>
    <definedName name="TOT_DS_LOT_24">#REF!</definedName>
    <definedName name="TOT_DS_LOT_25">#REF!</definedName>
    <definedName name="TOT_DS_LOT_26">#REF!</definedName>
    <definedName name="TOT_DS_LOT_27">#REF!</definedName>
    <definedName name="TOT_DS_LOT_28">#REF!</definedName>
    <definedName name="TOT_DS_LOT_29">#REF!</definedName>
    <definedName name="TOT_DS_LOT_30">#REF!</definedName>
    <definedName name="TOT_DS_LOT_31">#REF!</definedName>
    <definedName name="TOT_DS_LOT_33">#REF!</definedName>
    <definedName name="TOT_DS_LOT_34">#REF!</definedName>
    <definedName name="TOT_DS_LOT_35">#REF!</definedName>
    <definedName name="TOT_DS_LOT_36">#REF!</definedName>
    <definedName name="TOT_DS_LOT_37">#REF!</definedName>
    <definedName name="TOT_DS_LOT_38">#REF!</definedName>
    <definedName name="TOT_DS_LOT_39">#REF!</definedName>
    <definedName name="TOT_DS_LOT_40">#REF!</definedName>
    <definedName name="TOT_DS_LOT_41">#REF!</definedName>
    <definedName name="TOT_DS_LOT_42">#REF!</definedName>
    <definedName name="TOT_DS_LOT_43A">#REF!</definedName>
    <definedName name="TOT_DS_LOT_44">#REF!</definedName>
    <definedName name="TOT_DS_LOT_60">#REF!</definedName>
    <definedName name="TOT_DS_LOT_70">#REF!</definedName>
    <definedName name="TOT_DS_LOT_71">#REF!</definedName>
    <definedName name="TOT_DS_LOT_72">#REF!</definedName>
    <definedName name="TOT_DS_LOT_73">#REF!</definedName>
    <definedName name="TOT_DS_LOT_76">#REF!</definedName>
    <definedName name="TOT_DS_LOT_78">#REF!</definedName>
    <definedName name="TOT_DS_LOT_80">#REF!</definedName>
    <definedName name="TOT_DS_LOT_81">#REF!</definedName>
    <definedName name="TOT_DS_LOT_82">#REF!</definedName>
    <definedName name="TOT_DS_LOT_83">#REF!</definedName>
    <definedName name="TOT_DS_LOT_84">#REF!</definedName>
    <definedName name="TOT_DS_LOT_85">#REF!</definedName>
    <definedName name="TOT_DS_LOT_86">#REF!</definedName>
    <definedName name="TOT_DS_LOT_87">#REF!</definedName>
    <definedName name="TOT_DS_LOT_88">#REF!</definedName>
    <definedName name="TOT_DS_LOT_FND">#REF!</definedName>
    <definedName name="TOT_DS_TOTAL">#REF!</definedName>
    <definedName name="TOT_FO_DQE">#REF!</definedName>
    <definedName name="TOT_FO_LOT_01">#REF!</definedName>
    <definedName name="TOT_FO_LOT_02">#REF!</definedName>
    <definedName name="TOT_FO_LOT_03">#REF!</definedName>
    <definedName name="TOT_FO_LOT_04">#REF!</definedName>
    <definedName name="TOT_FO_LOT_05">#REF!</definedName>
    <definedName name="TOT_FO_LOT_06">#REF!</definedName>
    <definedName name="TOT_FO_LOT_08">#REF!</definedName>
    <definedName name="TOT_FO_LOT_09">#REF!</definedName>
    <definedName name="TOT_FO_LOT_11">#REF!</definedName>
    <definedName name="TOT_FO_LOT_12">#REF!</definedName>
    <definedName name="TOT_FO_LOT_13">#REF!</definedName>
    <definedName name="TOT_FO_LOT_14">#REF!</definedName>
    <definedName name="TOT_FO_LOT_15">#REF!</definedName>
    <definedName name="TOT_FO_LOT_16">#REF!</definedName>
    <definedName name="TOT_FO_LOT_17">#REF!</definedName>
    <definedName name="TOT_FO_LOT_20A">#REF!</definedName>
    <definedName name="TOT_FO_LOT_20B">#REF!</definedName>
    <definedName name="TOT_FO_LOT_20C">#REF!</definedName>
    <definedName name="TOT_FO_LOT_21">#REF!</definedName>
    <definedName name="TOT_FO_LOT_22">#REF!</definedName>
    <definedName name="TOT_FO_LOT_23">#REF!</definedName>
    <definedName name="TOT_FO_LOT_24">#REF!</definedName>
    <definedName name="TOT_FO_LOT_25">#REF!</definedName>
    <definedName name="TOT_FO_LOT_26">#REF!</definedName>
    <definedName name="TOT_FO_LOT_27">#REF!</definedName>
    <definedName name="TOT_FO_LOT_28">#REF!</definedName>
    <definedName name="TOT_FO_LOT_29">#REF!</definedName>
    <definedName name="TOT_FO_LOT_30">#REF!</definedName>
    <definedName name="TOT_FO_LOT_31">#REF!</definedName>
    <definedName name="TOT_FO_LOT_33">#REF!</definedName>
    <definedName name="TOT_FO_LOT_34">#REF!</definedName>
    <definedName name="TOT_FO_LOT_35">#REF!</definedName>
    <definedName name="TOT_FO_LOT_36">#REF!</definedName>
    <definedName name="TOT_FO_LOT_37">#REF!</definedName>
    <definedName name="TOT_FO_LOT_38">#REF!</definedName>
    <definedName name="TOT_FO_LOT_39">#REF!</definedName>
    <definedName name="TOT_FO_LOT_40">#REF!</definedName>
    <definedName name="TOT_FO_LOT_41">#REF!</definedName>
    <definedName name="TOT_FO_LOT_42">#REF!</definedName>
    <definedName name="TOT_FO_LOT_43A">#REF!</definedName>
    <definedName name="TOT_FO_LOT_44">#REF!</definedName>
    <definedName name="TOT_FO_LOT_60">#REF!</definedName>
    <definedName name="TOT_FO_LOT_70">#REF!</definedName>
    <definedName name="TOT_FO_LOT_71">#REF!</definedName>
    <definedName name="TOT_FO_LOT_72">#REF!</definedName>
    <definedName name="TOT_FO_LOT_73">#REF!</definedName>
    <definedName name="TOT_FO_LOT_76">#REF!</definedName>
    <definedName name="TOT_FO_LOT_78">#REF!</definedName>
    <definedName name="TOT_FO_LOT_80">#REF!</definedName>
    <definedName name="TOT_FO_LOT_81">#REF!</definedName>
    <definedName name="TOT_FO_LOT_82">#REF!</definedName>
    <definedName name="TOT_FO_LOT_83">#REF!</definedName>
    <definedName name="TOT_FO_LOT_83V">#REF!</definedName>
    <definedName name="TOT_FO_LOT_84">#REF!</definedName>
    <definedName name="TOT_FO_LOT_85">#REF!</definedName>
    <definedName name="TOT_FO_LOT_86">#REF!</definedName>
    <definedName name="TOT_FO_LOT_87">#REF!</definedName>
    <definedName name="TOT_FO_LOT_88">#REF!</definedName>
    <definedName name="TOT_FO_LOT_FND">#REF!</definedName>
    <definedName name="TOT_MO_DQE">#REF!</definedName>
    <definedName name="TOT_MO_LOT_01">#REF!</definedName>
    <definedName name="TOT_MO_LOT_02">#REF!</definedName>
    <definedName name="TOT_MO_LOT_03">#REF!</definedName>
    <definedName name="TOT_MO_LOT_04">#REF!</definedName>
    <definedName name="TOT_MO_LOT_05">#REF!</definedName>
    <definedName name="TOT_MO_LOT_06">#REF!</definedName>
    <definedName name="TOT_MO_LOT_08">#REF!</definedName>
    <definedName name="TOT_MO_LOT_09">#REF!</definedName>
    <definedName name="TOT_MO_LOT_11">#REF!</definedName>
    <definedName name="TOT_MO_LOT_12">#REF!</definedName>
    <definedName name="TOT_MO_LOT_13">#REF!</definedName>
    <definedName name="TOT_MO_LOT_14">#REF!</definedName>
    <definedName name="TOT_MO_LOT_15">#REF!</definedName>
    <definedName name="TOT_MO_LOT_16">#REF!</definedName>
    <definedName name="TOT_MO_LOT_17">#REF!</definedName>
    <definedName name="TOT_MO_LOT_20A">#REF!</definedName>
    <definedName name="TOT_MO_LOT_20B">#REF!</definedName>
    <definedName name="TOT_MO_LOT_20C">#REF!</definedName>
    <definedName name="TOT_MO_LOT_21">#REF!</definedName>
    <definedName name="TOT_MO_LOT_22">#REF!</definedName>
    <definedName name="TOT_MO_LOT_23">#REF!</definedName>
    <definedName name="TOT_MO_LOT_24">#REF!</definedName>
    <definedName name="TOT_MO_LOT_25">#REF!</definedName>
    <definedName name="TOT_MO_LOT_26">#REF!</definedName>
    <definedName name="TOT_MO_LOT_27">#REF!</definedName>
    <definedName name="TOT_MO_LOT_28">#REF!</definedName>
    <definedName name="TOT_MO_LOT_29">#REF!</definedName>
    <definedName name="TOT_MO_LOT_30">#REF!</definedName>
    <definedName name="TOT_MO_LOT_31">#REF!</definedName>
    <definedName name="TOT_MO_LOT_33">#REF!</definedName>
    <definedName name="TOT_MO_LOT_34">#REF!</definedName>
    <definedName name="TOT_MO_LOT_35">#REF!</definedName>
    <definedName name="TOT_MO_LOT_36">#REF!</definedName>
    <definedName name="TOT_MO_LOT_37">#REF!</definedName>
    <definedName name="TOT_MO_LOT_38">#REF!</definedName>
    <definedName name="TOT_MO_LOT_39">#REF!</definedName>
    <definedName name="TOT_MO_LOT_40">#REF!</definedName>
    <definedName name="TOT_MO_LOT_41">#REF!</definedName>
    <definedName name="TOT_MO_LOT_42">#REF!</definedName>
    <definedName name="TOT_MO_LOT_43A">#REF!</definedName>
    <definedName name="TOT_MO_LOT_44">#REF!</definedName>
    <definedName name="TOT_MO_LOT_60">#REF!</definedName>
    <definedName name="TOT_MO_LOT_70">#REF!</definedName>
    <definedName name="TOT_MO_LOT_71">#REF!</definedName>
    <definedName name="TOT_MO_LOT_72">#REF!</definedName>
    <definedName name="TOT_MO_LOT_73">#REF!</definedName>
    <definedName name="TOT_MO_LOT_76">#REF!</definedName>
    <definedName name="TOT_MO_LOT_78">#REF!</definedName>
    <definedName name="TOT_MO_LOT_80">#REF!</definedName>
    <definedName name="TOT_MO_LOT_81">#REF!</definedName>
    <definedName name="TOT_MO_LOT_82">#REF!</definedName>
    <definedName name="TOT_MO_LOT_83">#REF!</definedName>
    <definedName name="TOT_MO_LOT_83V">#REF!</definedName>
    <definedName name="TOT_MO_LOT_84">#REF!</definedName>
    <definedName name="TOT_MO_LOT_85">#REF!</definedName>
    <definedName name="TOT_MO_LOT_86">#REF!</definedName>
    <definedName name="TOT_MO_LOT_87">#REF!</definedName>
    <definedName name="TOT_MO_LOT_88">#REF!</definedName>
    <definedName name="TOT_MO_LOT_FND">#REF!</definedName>
    <definedName name="TOT_TO_DQE">#REF!</definedName>
    <definedName name="TOT_TO_LOT_01">#REF!</definedName>
    <definedName name="TOT_TO_LOT_02">#REF!</definedName>
    <definedName name="TOT_TO_LOT_03">#REF!</definedName>
    <definedName name="TOT_TO_LOT_04">#REF!</definedName>
    <definedName name="TOT_TO_LOT_05">#REF!</definedName>
    <definedName name="TOT_TO_LOT_06">#REF!</definedName>
    <definedName name="TOT_TO_LOT_08">#REF!</definedName>
    <definedName name="TOT_TO_LOT_09">#REF!</definedName>
    <definedName name="TOT_TO_LOT_11">#REF!</definedName>
    <definedName name="TOT_TO_LOT_12">#REF!</definedName>
    <definedName name="TOT_TO_LOT_13">#REF!</definedName>
    <definedName name="TOT_TO_LOT_14">#REF!</definedName>
    <definedName name="TOT_TO_LOT_15">#REF!</definedName>
    <definedName name="TOT_TO_LOT_16">#REF!</definedName>
    <definedName name="TOT_TO_LOT_17">#REF!</definedName>
    <definedName name="TOT_TO_LOT_20A">#REF!</definedName>
    <definedName name="TOT_TO_LOT_20B">#REF!</definedName>
    <definedName name="TOT_TO_LOT_20C">#REF!</definedName>
    <definedName name="TOT_TO_LOT_21">#REF!</definedName>
    <definedName name="TOT_TO_LOT_22">#REF!</definedName>
    <definedName name="TOT_TO_LOT_23">#REF!</definedName>
    <definedName name="TOT_TO_LOT_24">#REF!</definedName>
    <definedName name="TOT_TO_LOT_25">#REF!</definedName>
    <definedName name="TOT_TO_LOT_26">#REF!</definedName>
    <definedName name="TOT_TO_LOT_27">#REF!</definedName>
    <definedName name="TOT_TO_LOT_28">#REF!</definedName>
    <definedName name="TOT_TO_LOT_29">#REF!</definedName>
    <definedName name="TOT_TO_LOT_30">#REF!</definedName>
    <definedName name="TOT_TO_LOT_31">#REF!</definedName>
    <definedName name="TOT_TO_LOT_33">#REF!</definedName>
    <definedName name="TOT_TO_LOT_34">#REF!</definedName>
    <definedName name="TOT_TO_LOT_35">#REF!</definedName>
    <definedName name="TOT_TO_LOT_36">#REF!</definedName>
    <definedName name="TOT_TO_LOT_37">#REF!</definedName>
    <definedName name="TOT_TO_LOT_38">#REF!</definedName>
    <definedName name="TOT_TO_LOT_39">#REF!</definedName>
    <definedName name="TOT_TO_LOT_40">#REF!</definedName>
    <definedName name="TOT_TO_LOT_41">#REF!</definedName>
    <definedName name="TOT_TO_LOT_42">#REF!</definedName>
    <definedName name="TOT_TO_LOT_43A">#REF!</definedName>
    <definedName name="TOT_TO_LOT_44">#REF!</definedName>
    <definedName name="TOT_TO_LOT_60">#REF!</definedName>
    <definedName name="TOT_TO_LOT_70">#REF!</definedName>
    <definedName name="TOT_TO_LOT_71">#REF!</definedName>
    <definedName name="TOT_TO_LOT_72">#REF!</definedName>
    <definedName name="TOT_TO_LOT_73">#REF!</definedName>
    <definedName name="TOT_TO_LOT_76">#REF!</definedName>
    <definedName name="TOT_TO_LOT_78">#REF!</definedName>
    <definedName name="TOT_TO_LOT_80">#REF!</definedName>
    <definedName name="TOT_TO_LOT_81">#REF!</definedName>
    <definedName name="TOT_TO_LOT_82">#REF!</definedName>
    <definedName name="TOT_TO_LOT_83">#REF!</definedName>
    <definedName name="TOT_TO_LOT_84">#REF!</definedName>
    <definedName name="TOT_TO_LOT_85">#REF!</definedName>
    <definedName name="TOT_TO_LOT_86">#REF!</definedName>
    <definedName name="TOT_TO_LOT_87">#REF!</definedName>
    <definedName name="TOT_TO_LOT_88">#REF!</definedName>
    <definedName name="TOT_TO_LOT_FND">#REF!</definedName>
    <definedName name="TOT_TR_DQE">#REF!</definedName>
    <definedName name="TOT_TR_LOT_01">#REF!</definedName>
    <definedName name="TOT_TR_LOT_02">#REF!</definedName>
    <definedName name="TOT_TR_LOT_03">#REF!</definedName>
    <definedName name="TOT_TR_LOT_04">#REF!</definedName>
    <definedName name="TOT_TR_LOT_05">#REF!</definedName>
    <definedName name="TOT_TR_LOT_06">#REF!</definedName>
    <definedName name="TOT_TR_LOT_08">#REF!</definedName>
    <definedName name="TOT_TR_LOT_09">#REF!</definedName>
    <definedName name="TOT_TR_LOT_11">#REF!</definedName>
    <definedName name="TOT_TR_LOT_12">#REF!</definedName>
    <definedName name="TOT_TR_LOT_13">#REF!</definedName>
    <definedName name="TOT_TR_LOT_14">#REF!</definedName>
    <definedName name="TOT_TR_LOT_15">#REF!</definedName>
    <definedName name="TOT_TR_LOT_16">#REF!</definedName>
    <definedName name="TOT_TR_LOT_17">#REF!</definedName>
    <definedName name="TOT_TR_LOT_20A">#REF!</definedName>
    <definedName name="TOT_TR_LOT_20B">#REF!</definedName>
    <definedName name="TOT_TR_LOT_20C">#REF!</definedName>
    <definedName name="TOT_TR_LOT_21">#REF!</definedName>
    <definedName name="TOT_TR_LOT_22">#REF!</definedName>
    <definedName name="TOT_TR_LOT_23">#REF!</definedName>
    <definedName name="TOT_TR_LOT_24">#REF!</definedName>
    <definedName name="TOT_TR_LOT_25">#REF!</definedName>
    <definedName name="TOT_TR_LOT_26">#REF!</definedName>
    <definedName name="TOT_TR_LOT_27">#REF!</definedName>
    <definedName name="TOT_TR_LOT_28">#REF!</definedName>
    <definedName name="TOT_TR_LOT_29">#REF!</definedName>
    <definedName name="TOT_TR_LOT_30">#REF!</definedName>
    <definedName name="TOT_TR_LOT_31">#REF!</definedName>
    <definedName name="TOT_TR_LOT_33">#REF!</definedName>
    <definedName name="TOT_TR_LOT_34">#REF!</definedName>
    <definedName name="TOT_TR_LOT_35">#REF!</definedName>
    <definedName name="TOT_TR_LOT_36">#REF!</definedName>
    <definedName name="TOT_TR_LOT_37">#REF!</definedName>
    <definedName name="TOT_TR_LOT_38">#REF!</definedName>
    <definedName name="TOT_TR_LOT_39">#REF!</definedName>
    <definedName name="TOT_TR_LOT_40">#REF!</definedName>
    <definedName name="TOT_TR_LOT_41">#REF!</definedName>
    <definedName name="TOT_TR_LOT_42">#REF!</definedName>
    <definedName name="TOT_TR_LOT_43A">#REF!</definedName>
    <definedName name="TOT_TR_LOT_44">#REF!</definedName>
    <definedName name="TOT_TR_LOT_60">#REF!</definedName>
    <definedName name="TOT_TR_LOT_70">#REF!</definedName>
    <definedName name="TOT_TR_LOT_71">#REF!</definedName>
    <definedName name="TOT_TR_LOT_72">#REF!</definedName>
    <definedName name="TOT_TR_LOT_73">#REF!</definedName>
    <definedName name="TOT_TR_LOT_76">#REF!</definedName>
    <definedName name="TOT_TR_LOT_78">#REF!</definedName>
    <definedName name="TOT_TR_LOT_80">#REF!</definedName>
    <definedName name="TOT_TR_LOT_81">#REF!</definedName>
    <definedName name="TOT_TR_LOT_82">#REF!</definedName>
    <definedName name="TOT_TR_LOT_83">#REF!</definedName>
    <definedName name="TOT_TR_LOT_83V">#REF!</definedName>
    <definedName name="TOT_TR_LOT_84">#REF!</definedName>
    <definedName name="TOT_TR_LOT_85">#REF!</definedName>
    <definedName name="TOT_TR_LOT_86">#REF!</definedName>
    <definedName name="TOT_TR_LOT_87">#REF!</definedName>
    <definedName name="TOT_TR_LOT_88">#REF!</definedName>
    <definedName name="TOT_TR_LOT_FND">#REF!</definedName>
    <definedName name="TR_01">#REF!</definedName>
    <definedName name="TR_02">#REF!</definedName>
    <definedName name="TR_02_ACIER">#REF!</definedName>
    <definedName name="TR_03">#REF!</definedName>
    <definedName name="TR_03_ACIER">#REF!</definedName>
    <definedName name="TR_04">#REF!</definedName>
    <definedName name="TR_05">#REF!</definedName>
    <definedName name="TR_06">#REF!</definedName>
    <definedName name="TR_08">#REF!</definedName>
    <definedName name="TR_09">#REF!</definedName>
    <definedName name="TR_10">#REF!</definedName>
    <definedName name="TR_11">#REF!</definedName>
    <definedName name="TR_12">#REF!</definedName>
    <definedName name="TR_13">#REF!</definedName>
    <definedName name="TR_14">#REF!</definedName>
    <definedName name="TR_15">#REF!</definedName>
    <definedName name="TR_16">#REF!</definedName>
    <definedName name="TR_17">#REF!</definedName>
    <definedName name="TR_20A">#REF!</definedName>
    <definedName name="TR_20B">#REF!</definedName>
    <definedName name="TR_20C">#REF!</definedName>
    <definedName name="TR_21">#REF!</definedName>
    <definedName name="TR_22">#REF!</definedName>
    <definedName name="TR_23">#REF!</definedName>
    <definedName name="TR_24">#REF!</definedName>
    <definedName name="TR_25">#REF!</definedName>
    <definedName name="TR_26">#REF!</definedName>
    <definedName name="TR_27">#REF!</definedName>
    <definedName name="TR_28">#REF!</definedName>
    <definedName name="TR_29">#REF!</definedName>
    <definedName name="TR_30">#REF!</definedName>
    <definedName name="TR_31">#REF!</definedName>
    <definedName name="TR_32">#REF!</definedName>
    <definedName name="TR_33">#REF!</definedName>
    <definedName name="TR_34">#REF!</definedName>
    <definedName name="TR_34_ELEC">#REF!</definedName>
    <definedName name="TR_35">#REF!</definedName>
    <definedName name="TR_36">#REF!</definedName>
    <definedName name="TR_37">#REF!</definedName>
    <definedName name="TR_38">#REF!</definedName>
    <definedName name="TR_39">#REF!</definedName>
    <definedName name="TR_40">#REF!</definedName>
    <definedName name="TR_40_TRANS">#REF!</definedName>
    <definedName name="TR_40T">#REF!</definedName>
    <definedName name="TR_41">#REF!</definedName>
    <definedName name="TR_42">#REF!</definedName>
    <definedName name="TR_43">#REF!</definedName>
    <definedName name="TR_43a">#REF!</definedName>
    <definedName name="TR_43b">#REF!</definedName>
    <definedName name="TR_44">#REF!</definedName>
    <definedName name="TR_45">#REF!</definedName>
    <definedName name="TR_60">#REF!</definedName>
    <definedName name="TR_70">#REF!</definedName>
    <definedName name="TR_70_PRES">#REF!</definedName>
    <definedName name="TR_70P">#REF!</definedName>
    <definedName name="TR_71">#REF!</definedName>
    <definedName name="TR_72">#REF!</definedName>
    <definedName name="TR_73">#REF!</definedName>
    <definedName name="TR_74">#REF!</definedName>
    <definedName name="TR_75">#REF!</definedName>
    <definedName name="TR_76">#REF!</definedName>
    <definedName name="TR_77">#REF!</definedName>
    <definedName name="TR_78">#REF!</definedName>
    <definedName name="TR_80">#REF!</definedName>
    <definedName name="TR_81">#REF!</definedName>
    <definedName name="TR_81_GRAN">#REF!</definedName>
    <definedName name="TR_82">#REF!</definedName>
    <definedName name="TR_83_CEA_META">#REF!</definedName>
    <definedName name="TR_83_CEA_RAVA">#REF!</definedName>
    <definedName name="TR_83_GO">#REF!</definedName>
    <definedName name="TR_84">#REF!</definedName>
    <definedName name="TR_85">#REF!</definedName>
    <definedName name="TR_86">#REF!</definedName>
    <definedName name="TR_87">#REF!</definedName>
    <definedName name="TR_88">#REF!</definedName>
    <definedName name="TR_88_CARR">#REF!</definedName>
    <definedName name="TR_88_PIER">#REF!</definedName>
    <definedName name="TR_FND">#REF!</definedName>
    <definedName name="TR_S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2" i="69" l="1"/>
  <c r="F22" i="69"/>
  <c r="E22" i="69"/>
  <c r="O9" i="69"/>
  <c r="F9" i="69"/>
  <c r="E9" i="69"/>
  <c r="O21" i="69" l="1"/>
  <c r="F21" i="69"/>
  <c r="E21" i="69"/>
  <c r="O20" i="69" l="1"/>
  <c r="F20" i="69"/>
  <c r="E20" i="69"/>
  <c r="O26" i="69" l="1"/>
  <c r="O17" i="69"/>
  <c r="O6" i="69"/>
  <c r="E2" i="69" l="1"/>
  <c r="E7" i="69"/>
  <c r="E8" i="69"/>
  <c r="J2" i="70"/>
  <c r="J27" i="72" l="1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J10" i="72"/>
  <c r="J9" i="72"/>
  <c r="J8" i="72"/>
  <c r="J7" i="72"/>
  <c r="J6" i="72"/>
  <c r="J5" i="72"/>
  <c r="J4" i="72"/>
  <c r="J3" i="72"/>
  <c r="J2" i="72"/>
  <c r="O16" i="69" l="1"/>
  <c r="O15" i="69"/>
  <c r="O14" i="69"/>
  <c r="O5" i="69"/>
  <c r="O18" i="69"/>
  <c r="O8" i="69"/>
  <c r="O7" i="69"/>
  <c r="O2" i="69"/>
  <c r="O25" i="69"/>
  <c r="O24" i="69"/>
  <c r="O23" i="69"/>
  <c r="O13" i="69"/>
  <c r="O12" i="69"/>
  <c r="O11" i="69"/>
  <c r="O10" i="69"/>
  <c r="O4" i="69"/>
  <c r="O3" i="69"/>
  <c r="O19" i="69"/>
  <c r="F26" i="69" l="1"/>
  <c r="E26" i="69"/>
  <c r="F17" i="69"/>
  <c r="E17" i="69"/>
  <c r="F6" i="69"/>
  <c r="E6" i="69"/>
  <c r="F16" i="69"/>
  <c r="E16" i="69"/>
  <c r="F15" i="69"/>
  <c r="E15" i="69"/>
  <c r="F14" i="69"/>
  <c r="E14" i="69"/>
  <c r="F5" i="69"/>
  <c r="E5" i="69"/>
  <c r="F25" i="69"/>
  <c r="E25" i="69"/>
  <c r="F24" i="69"/>
  <c r="E24" i="69"/>
  <c r="F23" i="69"/>
  <c r="E23" i="69"/>
  <c r="F13" i="69"/>
  <c r="E13" i="69"/>
  <c r="F12" i="69"/>
  <c r="E12" i="69"/>
  <c r="F11" i="69"/>
  <c r="E11" i="69"/>
  <c r="F10" i="69"/>
  <c r="E10" i="69"/>
  <c r="F4" i="69"/>
  <c r="E4" i="69"/>
  <c r="F3" i="69"/>
  <c r="E3" i="69"/>
  <c r="F19" i="69"/>
  <c r="E19" i="69"/>
  <c r="F18" i="69"/>
  <c r="E18" i="69"/>
  <c r="F8" i="69"/>
  <c r="F7" i="69"/>
  <c r="F2" i="69"/>
  <c r="J223" i="73" l="1"/>
</calcChain>
</file>

<file path=xl/sharedStrings.xml><?xml version="1.0" encoding="utf-8"?>
<sst xmlns="http://schemas.openxmlformats.org/spreadsheetml/2006/main" count="879" uniqueCount="372">
  <si>
    <r>
      <t xml:space="preserve">MAITRE D'OUVRAGE / 
</t>
    </r>
    <r>
      <rPr>
        <sz val="16"/>
        <rFont val="Tahoma"/>
        <family val="2"/>
      </rPr>
      <t>ЗАКАЗЧИК</t>
    </r>
  </si>
  <si>
    <r>
      <t>ENTREPRENEUR /</t>
    </r>
    <r>
      <rPr>
        <sz val="16"/>
        <rFont val="Tahoma"/>
        <family val="2"/>
      </rPr>
      <t xml:space="preserve">
ГЕН. ПОДРЯДЧИК </t>
    </r>
  </si>
  <si>
    <r>
      <t>EXPLOITANT /</t>
    </r>
    <r>
      <rPr>
        <sz val="16"/>
        <rFont val="Tahoma"/>
        <family val="2"/>
      </rPr>
      <t xml:space="preserve">
 ЭКСПЛУАТИРУЮЩАЯ СТОРОНА</t>
    </r>
  </si>
  <si>
    <t>PROJECT CODE</t>
  </si>
  <si>
    <t>Responsible</t>
  </si>
  <si>
    <t>Department</t>
  </si>
  <si>
    <t>CEA</t>
  </si>
  <si>
    <t>CRA</t>
  </si>
  <si>
    <t>CCI</t>
  </si>
  <si>
    <t>CRI</t>
  </si>
  <si>
    <t>exploitant</t>
  </si>
  <si>
    <t>client</t>
  </si>
  <si>
    <t>project_code</t>
  </si>
  <si>
    <t>conrtactor</t>
  </si>
  <si>
    <t>department_names</t>
  </si>
  <si>
    <t>A1</t>
  </si>
  <si>
    <r>
      <rPr>
        <b/>
        <sz val="16"/>
        <rFont val="Tahoma"/>
        <family val="2"/>
        <charset val="204"/>
      </rPr>
      <t>ASHGABAT - TURKMENISTAN</t>
    </r>
    <r>
      <rPr>
        <sz val="16"/>
        <rFont val="Tahoma"/>
        <family val="2"/>
        <charset val="204"/>
      </rPr>
      <t xml:space="preserve">
 АШХАБАД - ТУРКМЕНИСТАН    </t>
    </r>
  </si>
  <si>
    <r>
      <rPr>
        <b/>
        <sz val="16"/>
        <rFont val="Tahoma"/>
        <family val="2"/>
      </rPr>
      <t>Signature /</t>
    </r>
    <r>
      <rPr>
        <sz val="16"/>
        <rFont val="Tahoma"/>
        <family val="2"/>
      </rPr>
      <t xml:space="preserve"> Подпись</t>
    </r>
  </si>
  <si>
    <r>
      <rPr>
        <b/>
        <sz val="16"/>
        <rFont val="Tahoma"/>
        <family val="2"/>
      </rPr>
      <t>Date /</t>
    </r>
    <r>
      <rPr>
        <sz val="16"/>
        <rFont val="Tahoma"/>
        <family val="2"/>
      </rPr>
      <t xml:space="preserve"> Дата :</t>
    </r>
  </si>
  <si>
    <r>
      <rPr>
        <b/>
        <sz val="16"/>
        <rFont val="Tahoma"/>
        <family val="2"/>
      </rPr>
      <t xml:space="preserve">Signature / </t>
    </r>
    <r>
      <rPr>
        <sz val="16"/>
        <rFont val="Tahoma"/>
        <family val="2"/>
      </rPr>
      <t>Подпись</t>
    </r>
  </si>
  <si>
    <r>
      <t>Date /</t>
    </r>
    <r>
      <rPr>
        <sz val="16"/>
        <rFont val="Tahoma"/>
        <family val="2"/>
      </rPr>
      <t xml:space="preserve"> Дата :</t>
    </r>
  </si>
  <si>
    <r>
      <rPr>
        <b/>
        <sz val="16"/>
        <rFont val="Tahoma"/>
        <family val="2"/>
      </rPr>
      <t xml:space="preserve">Date / </t>
    </r>
    <r>
      <rPr>
        <sz val="16"/>
        <rFont val="Tahoma"/>
        <family val="2"/>
      </rPr>
      <t>Дата :</t>
    </r>
  </si>
  <si>
    <t>Nom ENG</t>
  </si>
  <si>
    <t>Nom en Turkmen</t>
  </si>
  <si>
    <t>A2</t>
  </si>
  <si>
    <t>A3</t>
  </si>
  <si>
    <t>02.A3.BUR.301</t>
  </si>
  <si>
    <t>A4</t>
  </si>
  <si>
    <t>00.A4.HAL.201</t>
  </si>
  <si>
    <t>1.18 m²</t>
  </si>
  <si>
    <t>-1.A2.CIR.604</t>
  </si>
  <si>
    <t>HG ORDER NO</t>
  </si>
  <si>
    <t>TBA</t>
  </si>
  <si>
    <t>SBA</t>
  </si>
  <si>
    <t>HTC</t>
  </si>
  <si>
    <t>NTG</t>
  </si>
  <si>
    <t>RPM</t>
  </si>
  <si>
    <t>CGP</t>
  </si>
  <si>
    <t>Номер - Num Local</t>
  </si>
  <si>
    <t xml:space="preserve">  Зтаж - Niveau</t>
  </si>
  <si>
    <t>Зона - Zone</t>
  </si>
  <si>
    <t>Название на французском - Nom FR</t>
  </si>
  <si>
    <t>Название на русском - Nom RU</t>
  </si>
  <si>
    <t>Площадь - Area</t>
  </si>
  <si>
    <t>Project Code</t>
  </si>
  <si>
    <t xml:space="preserve">Nom / Имя : </t>
  </si>
  <si>
    <r>
      <rPr>
        <b/>
        <sz val="14"/>
        <rFont val="Tahoma"/>
        <family val="2"/>
      </rPr>
      <t xml:space="preserve">Niveau 
</t>
    </r>
    <r>
      <rPr>
        <sz val="14"/>
        <rFont val="Tahoma"/>
        <family val="2"/>
      </rPr>
      <t>Этаж</t>
    </r>
  </si>
  <si>
    <r>
      <t xml:space="preserve">Numero local 
</t>
    </r>
    <r>
      <rPr>
        <sz val="14"/>
        <rFont val="Tahoma"/>
        <family val="2"/>
      </rPr>
      <t>Номер помещения</t>
    </r>
  </si>
  <si>
    <r>
      <t xml:space="preserve">Réf. local 
</t>
    </r>
    <r>
      <rPr>
        <sz val="14"/>
        <rFont val="Tahoma"/>
        <family val="2"/>
      </rPr>
      <t>Название помещения</t>
    </r>
  </si>
  <si>
    <r>
      <t xml:space="preserve">Description 
</t>
    </r>
    <r>
      <rPr>
        <sz val="16"/>
        <rFont val="Tahoma"/>
        <family val="2"/>
      </rPr>
      <t>Описание</t>
    </r>
  </si>
  <si>
    <r>
      <rPr>
        <b/>
        <sz val="16"/>
        <rFont val="Tahoma"/>
        <family val="2"/>
      </rPr>
      <t xml:space="preserve">N° Annexe 5 
</t>
    </r>
    <r>
      <rPr>
        <sz val="16"/>
        <rFont val="Tahoma"/>
        <family val="2"/>
      </rPr>
      <t>N° Приложения 5</t>
    </r>
    <r>
      <rPr>
        <b/>
        <sz val="16"/>
        <rFont val="Tahoma"/>
        <family val="2"/>
      </rPr>
      <t xml:space="preserve"> </t>
    </r>
  </si>
  <si>
    <r>
      <t xml:space="preserve">Facture 
</t>
    </r>
    <r>
      <rPr>
        <sz val="16"/>
        <rFont val="Tahoma"/>
        <family val="2"/>
      </rPr>
      <t>Фактура</t>
    </r>
  </si>
  <si>
    <r>
      <t xml:space="preserve">Quantité 
</t>
    </r>
    <r>
      <rPr>
        <sz val="16"/>
        <rFont val="Tahoma"/>
        <family val="2"/>
      </rPr>
      <t>Количество</t>
    </r>
    <r>
      <rPr>
        <b/>
        <sz val="16"/>
        <rFont val="Tahoma"/>
        <family val="2"/>
      </rPr>
      <t xml:space="preserve"> </t>
    </r>
  </si>
  <si>
    <r>
      <t xml:space="preserve">Unité 
</t>
    </r>
    <r>
      <rPr>
        <sz val="16"/>
        <rFont val="Tahoma"/>
        <family val="2"/>
      </rPr>
      <t>Ед. изм.</t>
    </r>
  </si>
  <si>
    <r>
      <t xml:space="preserve">PU 
</t>
    </r>
    <r>
      <rPr>
        <sz val="16"/>
        <rFont val="Tahoma"/>
        <family val="2"/>
      </rPr>
      <t>Цена за ед.</t>
    </r>
  </si>
  <si>
    <r>
      <t xml:space="preserve">PT 
</t>
    </r>
    <r>
      <rPr>
        <sz val="16"/>
        <rFont val="Tahoma"/>
        <family val="2"/>
      </rPr>
      <t>Итого</t>
    </r>
  </si>
  <si>
    <r>
      <t xml:space="preserve">Image 
</t>
    </r>
    <r>
      <rPr>
        <sz val="16"/>
        <rFont val="Tahoma"/>
        <family val="2"/>
      </rPr>
      <t>Изображение</t>
    </r>
  </si>
  <si>
    <t>(Optional) 
NOTE-1</t>
  </si>
  <si>
    <t>(Optional) 
NOTE-2</t>
  </si>
  <si>
    <t>(Optional) 
NOTE-3</t>
  </si>
  <si>
    <r>
      <rPr>
        <b/>
        <sz val="14"/>
        <rFont val="Calibri"/>
        <family val="2"/>
        <charset val="204"/>
        <scheme val="minor"/>
      </rPr>
      <t>Niveau</t>
    </r>
    <r>
      <rPr>
        <sz val="14"/>
        <rFont val="Calibri"/>
        <family val="2"/>
        <charset val="204"/>
        <scheme val="minor"/>
      </rPr>
      <t xml:space="preserve">
Этаж</t>
    </r>
  </si>
  <si>
    <r>
      <rPr>
        <b/>
        <sz val="14"/>
        <rFont val="Calibri"/>
        <family val="2"/>
        <charset val="204"/>
        <scheme val="minor"/>
      </rPr>
      <t>Zone</t>
    </r>
    <r>
      <rPr>
        <sz val="14"/>
        <rFont val="Calibri"/>
        <family val="2"/>
        <charset val="204"/>
        <scheme val="minor"/>
      </rPr>
      <t xml:space="preserve">
Зона</t>
    </r>
  </si>
  <si>
    <r>
      <rPr>
        <b/>
        <sz val="14"/>
        <rFont val="Calibri"/>
        <family val="2"/>
        <charset val="204"/>
        <scheme val="minor"/>
      </rPr>
      <t>Numero local</t>
    </r>
    <r>
      <rPr>
        <sz val="14"/>
        <rFont val="Calibri"/>
        <family val="2"/>
        <charset val="204"/>
        <scheme val="minor"/>
      </rPr>
      <t xml:space="preserve"> 
Номер помещения</t>
    </r>
  </si>
  <si>
    <r>
      <rPr>
        <b/>
        <sz val="14"/>
        <rFont val="Calibri"/>
        <family val="2"/>
        <charset val="204"/>
        <scheme val="minor"/>
      </rPr>
      <t xml:space="preserve">Réf. local </t>
    </r>
    <r>
      <rPr>
        <sz val="14"/>
        <rFont val="Calibri"/>
        <family val="2"/>
        <charset val="204"/>
        <scheme val="minor"/>
      </rPr>
      <t xml:space="preserve">
Название помещения  (FR)</t>
    </r>
  </si>
  <si>
    <r>
      <rPr>
        <b/>
        <sz val="14"/>
        <rFont val="Calibri"/>
        <family val="2"/>
        <charset val="204"/>
        <scheme val="minor"/>
      </rPr>
      <t xml:space="preserve">Réf. local  </t>
    </r>
    <r>
      <rPr>
        <sz val="14"/>
        <rFont val="Calibri"/>
        <family val="2"/>
        <charset val="204"/>
        <scheme val="minor"/>
      </rPr>
      <t xml:space="preserve">
Название помещения - TM</t>
    </r>
  </si>
  <si>
    <r>
      <t xml:space="preserve">Description  
</t>
    </r>
    <r>
      <rPr>
        <sz val="14"/>
        <rFont val="Calibri"/>
        <family val="2"/>
        <charset val="204"/>
        <scheme val="minor"/>
      </rPr>
      <t>Описание  (FR)</t>
    </r>
  </si>
  <si>
    <r>
      <t xml:space="preserve">Description  
</t>
    </r>
    <r>
      <rPr>
        <sz val="14"/>
        <rFont val="Calibri"/>
        <family val="2"/>
        <charset val="204"/>
        <scheme val="minor"/>
      </rPr>
      <t>Описание (TM)</t>
    </r>
  </si>
  <si>
    <r>
      <rPr>
        <b/>
        <sz val="14"/>
        <rFont val="Calibri"/>
        <family val="2"/>
        <charset val="204"/>
        <scheme val="minor"/>
      </rPr>
      <t xml:space="preserve">N° Annexe 5 
</t>
    </r>
    <r>
      <rPr>
        <sz val="14"/>
        <rFont val="Calibri"/>
        <family val="2"/>
        <charset val="204"/>
        <scheme val="minor"/>
      </rPr>
      <t>N° Приложения 5</t>
    </r>
    <r>
      <rPr>
        <b/>
        <sz val="14"/>
        <rFont val="Calibri"/>
        <family val="2"/>
        <charset val="204"/>
        <scheme val="minor"/>
      </rPr>
      <t xml:space="preserve"> </t>
    </r>
  </si>
  <si>
    <r>
      <t xml:space="preserve">Facture 
</t>
    </r>
    <r>
      <rPr>
        <sz val="14"/>
        <rFont val="Calibri"/>
        <family val="2"/>
        <charset val="204"/>
        <scheme val="minor"/>
      </rPr>
      <t>Фактура</t>
    </r>
  </si>
  <si>
    <r>
      <t xml:space="preserve">Quantité /
</t>
    </r>
    <r>
      <rPr>
        <sz val="14"/>
        <rFont val="Calibri"/>
        <family val="2"/>
        <charset val="204"/>
        <scheme val="minor"/>
      </rPr>
      <t>Количество</t>
    </r>
    <r>
      <rPr>
        <b/>
        <sz val="14"/>
        <rFont val="Calibri"/>
        <family val="2"/>
        <charset val="204"/>
        <scheme val="minor"/>
      </rPr>
      <t xml:space="preserve"> </t>
    </r>
  </si>
  <si>
    <r>
      <t xml:space="preserve">Unité 
</t>
    </r>
    <r>
      <rPr>
        <sz val="14"/>
        <rFont val="Calibri"/>
        <family val="2"/>
        <charset val="204"/>
        <scheme val="minor"/>
      </rPr>
      <t>Ед. изм. (TM)</t>
    </r>
  </si>
  <si>
    <r>
      <t xml:space="preserve">Unité 
</t>
    </r>
    <r>
      <rPr>
        <sz val="14"/>
        <rFont val="Calibri"/>
        <family val="2"/>
        <charset val="204"/>
        <scheme val="minor"/>
      </rPr>
      <t>Ед. изм. (FR)</t>
    </r>
  </si>
  <si>
    <r>
      <t xml:space="preserve">PU 
</t>
    </r>
    <r>
      <rPr>
        <sz val="14"/>
        <rFont val="Calibri"/>
        <family val="2"/>
        <charset val="204"/>
        <scheme val="minor"/>
      </rPr>
      <t>Цена за ед.</t>
    </r>
  </si>
  <si>
    <r>
      <t xml:space="preserve">PT
</t>
    </r>
    <r>
      <rPr>
        <sz val="14"/>
        <rFont val="Calibri"/>
        <family val="2"/>
        <charset val="204"/>
        <scheme val="minor"/>
      </rPr>
      <t>Итого</t>
    </r>
  </si>
  <si>
    <r>
      <t xml:space="preserve">Image
</t>
    </r>
    <r>
      <rPr>
        <sz val="14"/>
        <rFont val="Calibri"/>
        <family val="2"/>
        <charset val="204"/>
        <scheme val="minor"/>
      </rPr>
      <t>Изображение</t>
    </r>
  </si>
  <si>
    <r>
      <t>Nom /</t>
    </r>
    <r>
      <rPr>
        <sz val="16"/>
        <rFont val="Tahoma"/>
        <family val="2"/>
        <charset val="204"/>
      </rPr>
      <t xml:space="preserve"> Имя : </t>
    </r>
  </si>
  <si>
    <t>00.C.040</t>
  </si>
  <si>
    <t>00</t>
  </si>
  <si>
    <t>C</t>
  </si>
  <si>
    <t xml:space="preserve">Table </t>
  </si>
  <si>
    <t>Стол</t>
  </si>
  <si>
    <t>Table pour salle de réunion</t>
  </si>
  <si>
    <t>Стол для зала заседаний (с округлеными углами)</t>
  </si>
  <si>
    <t xml:space="preserve">Chaise bureaux des chambres </t>
  </si>
  <si>
    <t>Кресло к письменному столу для спален</t>
  </si>
  <si>
    <t xml:space="preserve">Fauteuil sur roulette </t>
  </si>
  <si>
    <t>Кресло на колесиках</t>
  </si>
  <si>
    <t xml:space="preserve">Armoire haute </t>
  </si>
  <si>
    <t>Шкаф высокий</t>
  </si>
  <si>
    <t>Porte manteau sur pied</t>
  </si>
  <si>
    <t>Вешалка на стойке</t>
  </si>
  <si>
    <t>Corbeille à papier</t>
  </si>
  <si>
    <t>Корзина для бумаг</t>
  </si>
  <si>
    <t>70.3.2.2.1</t>
  </si>
  <si>
    <t xml:space="preserve"> 70.3.2.3.11</t>
  </si>
  <si>
    <t>70.3.2.3.3</t>
  </si>
  <si>
    <t>NTG-TK-529</t>
  </si>
  <si>
    <t>NTG-TK-532</t>
  </si>
  <si>
    <t>NTG-TK-690</t>
  </si>
  <si>
    <t>NTG-TK-769</t>
  </si>
  <si>
    <t>19.28 m²</t>
  </si>
  <si>
    <t>12.37 m²</t>
  </si>
  <si>
    <t>A</t>
  </si>
  <si>
    <t>7.38 m²</t>
  </si>
  <si>
    <t>02</t>
  </si>
  <si>
    <t>03</t>
  </si>
  <si>
    <t>2.29 m²</t>
  </si>
  <si>
    <t>5.30 m²</t>
  </si>
  <si>
    <r>
      <t xml:space="preserve">Bâtiment De La Tribune Gouvernementale  
</t>
    </r>
    <r>
      <rPr>
        <sz val="20"/>
        <rFont val="Tahoma"/>
        <family val="2"/>
        <charset val="204"/>
      </rPr>
      <t>Hökümet Münberiniň Binasy</t>
    </r>
  </si>
  <si>
    <r>
      <t>Nom /</t>
    </r>
    <r>
      <rPr>
        <sz val="16"/>
        <rFont val="Tahoma"/>
        <family val="2"/>
        <charset val="204"/>
      </rPr>
      <t xml:space="preserve"> Имя :</t>
    </r>
    <r>
      <rPr>
        <b/>
        <sz val="16"/>
        <rFont val="Tahoma"/>
        <family val="2"/>
        <charset val="204"/>
      </rPr>
      <t xml:space="preserve"> A.GOUFI /</t>
    </r>
    <r>
      <rPr>
        <sz val="16"/>
        <rFont val="Tahoma"/>
        <family val="2"/>
        <charset val="204"/>
      </rPr>
      <t xml:space="preserve"> А. ГУФИ</t>
    </r>
  </si>
  <si>
    <t>2.33 m²</t>
  </si>
  <si>
    <t>-</t>
  </si>
  <si>
    <t>8.86 m²</t>
  </si>
  <si>
    <t>19.76 m²</t>
  </si>
  <si>
    <t>9.97 m²</t>
  </si>
  <si>
    <r>
      <t xml:space="preserve">Salle de reunion "Galkynych" 
</t>
    </r>
    <r>
      <rPr>
        <sz val="14"/>
        <rFont val="Tahoma"/>
        <family val="2"/>
      </rPr>
      <t>Зал заседаний "Галкыныш"</t>
    </r>
  </si>
  <si>
    <t>Наименование</t>
  </si>
  <si>
    <t xml:space="preserve">ASHGABAT - TURKMENISTAN    </t>
  </si>
  <si>
    <t>Désignation</t>
  </si>
  <si>
    <t>main_project_titleFR</t>
  </si>
  <si>
    <t>main_project_titleTM</t>
  </si>
  <si>
    <t>representantBYTK</t>
  </si>
  <si>
    <t>representantCLIENT</t>
  </si>
  <si>
    <t>E</t>
  </si>
  <si>
    <t>345.43 m²</t>
  </si>
  <si>
    <t>7.31 m²</t>
  </si>
  <si>
    <t>20.71 m²</t>
  </si>
  <si>
    <t>50.38 m²</t>
  </si>
  <si>
    <t>12.88 m²</t>
  </si>
  <si>
    <t>4.10 m²</t>
  </si>
  <si>
    <t>11.57 m²</t>
  </si>
  <si>
    <t>1.37 m²</t>
  </si>
  <si>
    <t>11.43 m²</t>
  </si>
  <si>
    <t>42.15 m²</t>
  </si>
  <si>
    <t>6.84 m²</t>
  </si>
  <si>
    <t>21.81 m²</t>
  </si>
  <si>
    <t>14.69 m²</t>
  </si>
  <si>
    <t>19.59 m²</t>
  </si>
  <si>
    <t>a</t>
  </si>
  <si>
    <r>
      <t xml:space="preserve">Quantité
</t>
    </r>
    <r>
      <rPr>
        <sz val="14"/>
        <rFont val="Tahoma"/>
        <family val="2"/>
      </rPr>
      <t xml:space="preserve">Количество </t>
    </r>
  </si>
  <si>
    <r>
      <t xml:space="preserve">P.U. USD 
</t>
    </r>
    <r>
      <rPr>
        <sz val="14"/>
        <rFont val="Tahoma"/>
        <family val="2"/>
      </rPr>
      <t>Ед. цена в Долларах</t>
    </r>
  </si>
  <si>
    <r>
      <rPr>
        <b/>
        <sz val="14"/>
        <rFont val="Tahoma"/>
        <family val="2"/>
      </rPr>
      <t>Date</t>
    </r>
    <r>
      <rPr>
        <sz val="14"/>
        <rFont val="Tahoma"/>
        <family val="2"/>
      </rPr>
      <t xml:space="preserve"> / Дата: _____________________________</t>
    </r>
  </si>
  <si>
    <r>
      <rPr>
        <b/>
        <sz val="14"/>
        <rFont val="Tahoma"/>
        <family val="2"/>
      </rPr>
      <t xml:space="preserve">Date </t>
    </r>
    <r>
      <rPr>
        <sz val="14"/>
        <rFont val="Tahoma"/>
        <family val="2"/>
      </rPr>
      <t>/ Дата: _____________________________</t>
    </r>
  </si>
  <si>
    <r>
      <rPr>
        <b/>
        <sz val="14"/>
        <rFont val="Tahoma"/>
        <family val="2"/>
      </rPr>
      <t>Signature</t>
    </r>
    <r>
      <rPr>
        <sz val="14"/>
        <rFont val="Tahoma"/>
        <family val="2"/>
      </rPr>
      <t xml:space="preserve"> / Подпись:</t>
    </r>
  </si>
  <si>
    <r>
      <rPr>
        <b/>
        <sz val="14"/>
        <rFont val="Tahoma"/>
        <family val="2"/>
      </rPr>
      <t>Niveau</t>
    </r>
    <r>
      <rPr>
        <sz val="14"/>
        <rFont val="Tahoma"/>
        <family val="2"/>
      </rPr>
      <t xml:space="preserve">
Этаж</t>
    </r>
  </si>
  <si>
    <r>
      <t xml:space="preserve">Description
</t>
    </r>
    <r>
      <rPr>
        <sz val="14"/>
        <rFont val="Tahoma"/>
        <family val="2"/>
      </rPr>
      <t>Описание</t>
    </r>
  </si>
  <si>
    <r>
      <t xml:space="preserve">Unité 
</t>
    </r>
    <r>
      <rPr>
        <sz val="14"/>
        <rFont val="Tahoma"/>
        <family val="2"/>
      </rPr>
      <t>Единица измерения</t>
    </r>
  </si>
  <si>
    <r>
      <t xml:space="preserve">Image  
</t>
    </r>
    <r>
      <rPr>
        <sz val="14"/>
        <rFont val="Tahoma"/>
        <family val="2"/>
      </rPr>
      <t>Изображение</t>
    </r>
  </si>
  <si>
    <r>
      <t xml:space="preserve">Total USD 
</t>
    </r>
    <r>
      <rPr>
        <sz val="14"/>
        <rFont val="Tahoma"/>
        <family val="2"/>
      </rPr>
      <t>Итого в Долларах</t>
    </r>
  </si>
  <si>
    <r>
      <rPr>
        <b/>
        <sz val="14"/>
        <rFont val="Tahoma"/>
        <family val="2"/>
      </rPr>
      <t>N° Annexe 5</t>
    </r>
    <r>
      <rPr>
        <sz val="14"/>
        <rFont val="Tahoma"/>
        <family val="2"/>
      </rPr>
      <t xml:space="preserve">
N° Приложения 5</t>
    </r>
  </si>
  <si>
    <r>
      <t xml:space="preserve">TOTAL USD                                                                                                                   </t>
    </r>
    <r>
      <rPr>
        <sz val="14"/>
        <rFont val="Tahoma"/>
        <family val="2"/>
      </rPr>
      <t>ИТОГО В ДОЛЛАРАХ</t>
    </r>
  </si>
  <si>
    <r>
      <t xml:space="preserve">Numéro Facture
</t>
    </r>
    <r>
      <rPr>
        <sz val="14"/>
        <rFont val="Tahoma"/>
        <family val="2"/>
      </rPr>
      <t>Номер фактуры</t>
    </r>
  </si>
  <si>
    <r>
      <rPr>
        <b/>
        <sz val="14"/>
        <rFont val="Tahoma"/>
        <family val="2"/>
      </rPr>
      <t xml:space="preserve">Numéro local </t>
    </r>
    <r>
      <rPr>
        <sz val="14"/>
        <rFont val="Tahoma"/>
        <family val="2"/>
      </rPr>
      <t xml:space="preserve">
Номер помещения</t>
    </r>
  </si>
  <si>
    <r>
      <t xml:space="preserve">REPRESENTANT BOUYGUES </t>
    </r>
    <r>
      <rPr>
        <sz val="14"/>
        <rFont val="Tahoma"/>
        <family val="2"/>
      </rPr>
      <t>/ ПРЕДСТАВИТЕЛЬ ОТ КОМПАНИИ "БУИГ"</t>
    </r>
  </si>
  <si>
    <r>
      <t>REPRESENTANT</t>
    </r>
    <r>
      <rPr>
        <sz val="14"/>
        <rFont val="Tahoma"/>
        <family val="2"/>
      </rPr>
      <t xml:space="preserve"> / ПРЕДСТАВИТЕЛЬ </t>
    </r>
  </si>
  <si>
    <r>
      <t>ENTREPRISE</t>
    </r>
    <r>
      <rPr>
        <sz val="14"/>
        <rFont val="Tahoma"/>
        <family val="2"/>
      </rPr>
      <t xml:space="preserve"> / ГЕНПОДРЯДЧИК</t>
    </r>
  </si>
  <si>
    <r>
      <t xml:space="preserve">EXPLOITANT </t>
    </r>
    <r>
      <rPr>
        <sz val="14"/>
        <rFont val="Tahoma"/>
        <family val="2"/>
      </rPr>
      <t>/ ЭКСПЛУАТИРУЮЩАЯ СТОРОНА</t>
    </r>
  </si>
  <si>
    <r>
      <t xml:space="preserve">MAITRE D'OUVRAGE </t>
    </r>
    <r>
      <rPr>
        <sz val="14"/>
        <rFont val="Tahoma"/>
        <family val="2"/>
      </rPr>
      <t>/ ЗАКАЗЧИК</t>
    </r>
  </si>
  <si>
    <t>unité</t>
  </si>
  <si>
    <t>штук</t>
  </si>
  <si>
    <t>1</t>
  </si>
  <si>
    <t xml:space="preserve">Nom / Имя: </t>
  </si>
  <si>
    <t>+</t>
  </si>
  <si>
    <t>P</t>
  </si>
  <si>
    <t>L</t>
  </si>
  <si>
    <t>O</t>
  </si>
  <si>
    <t>INDICE</t>
  </si>
  <si>
    <t>NUMERO</t>
  </si>
  <si>
    <t>NIVEAU</t>
  </si>
  <si>
    <t>ZONE</t>
  </si>
  <si>
    <t>TYPE</t>
  </si>
  <si>
    <t>LOT</t>
  </si>
  <si>
    <t>PHASE</t>
  </si>
  <si>
    <t>AFFAIRE</t>
  </si>
  <si>
    <t>ИНДЕКС</t>
  </si>
  <si>
    <t>НОМЕР</t>
  </si>
  <si>
    <t>ЭТАЖ</t>
  </si>
  <si>
    <t>ЗОНА</t>
  </si>
  <si>
    <t>ТИП</t>
  </si>
  <si>
    <t>РАЗДЕЛ</t>
  </si>
  <si>
    <t>ЭТАП</t>
  </si>
  <si>
    <t>ПРОЕКТ</t>
  </si>
  <si>
    <t>DATE</t>
  </si>
  <si>
    <t>ДАТА</t>
  </si>
  <si>
    <t>ECHELLE</t>
  </si>
  <si>
    <t>МАСШТАБ</t>
  </si>
  <si>
    <t>FORМАТ</t>
  </si>
  <si>
    <t>ФОРМАТ</t>
  </si>
  <si>
    <t>BYTK</t>
  </si>
  <si>
    <t>EMETTEUR</t>
  </si>
  <si>
    <t>ОТПРАВИТЕЛЬ</t>
  </si>
  <si>
    <t xml:space="preserve">P  E  O  </t>
  </si>
  <si>
    <t xml:space="preserve"> СТРОИТЕЛЬНЫЙ РАБОЧИЙ ЧЕРТЕЖ</t>
  </si>
  <si>
    <t>ENTREPRENEUR</t>
  </si>
  <si>
    <t>ПОДРЯДЧИК</t>
  </si>
  <si>
    <t>MAITRE D'OUVRAGE</t>
  </si>
  <si>
    <t>ЗАКАЗЧИК</t>
  </si>
  <si>
    <t>ДОКУМЕНТЫ ИНВЕНТАРИЗАЦИИ</t>
  </si>
  <si>
    <t>DOCUMENTS INVENTAIRE</t>
  </si>
  <si>
    <t>Cartouche - CEA</t>
  </si>
  <si>
    <t>Cartouche - MEC</t>
  </si>
  <si>
    <t>Cartouche - ELC</t>
  </si>
  <si>
    <r>
      <rPr>
        <b/>
        <sz val="16"/>
        <color theme="1"/>
        <rFont val="Arial"/>
        <family val="2"/>
        <charset val="204"/>
      </rPr>
      <t>INVENTARISATION</t>
    </r>
    <r>
      <rPr>
        <sz val="16"/>
        <color theme="1"/>
        <rFont val="Arial"/>
        <family val="2"/>
      </rPr>
      <t xml:space="preserve">
ИНВЕНТАРИЗАЦИЯ</t>
    </r>
  </si>
  <si>
    <t>Cartouche - Overall</t>
  </si>
  <si>
    <t>0</t>
  </si>
  <si>
    <t>21001</t>
  </si>
  <si>
    <t>31001</t>
  </si>
  <si>
    <t>41001</t>
  </si>
  <si>
    <t>22001</t>
  </si>
  <si>
    <t>32001</t>
  </si>
  <si>
    <t>42001</t>
  </si>
  <si>
    <t>ЭЛЕКТРИЧЕСКИЕ РАБОТЫ</t>
  </si>
  <si>
    <t xml:space="preserve">РАЗДЕЛ САНТЕХНИКА </t>
  </si>
  <si>
    <t>АРХИТЕКТУРНЫЕ РАБОТЫ</t>
  </si>
  <si>
    <t>ВСЕ РАБОТЫ</t>
  </si>
  <si>
    <t>ДОКУМЕНТЫ ИНВЕНТАРИЗАЦИИ
АРХИТЕКТУРНЫЕ РАБОТЫ</t>
  </si>
  <si>
    <t>ALL TRADES</t>
  </si>
  <si>
    <t>ELECTRICAL TRADE</t>
  </si>
  <si>
    <t>MECHANICAL TRADE</t>
  </si>
  <si>
    <t>DOCUMENTS INVENTAIRE
CEA</t>
  </si>
  <si>
    <t>Will have Inventory - CEA</t>
  </si>
  <si>
    <t>Will have Inventory - MEC</t>
  </si>
  <si>
    <t>Will have Inventory - ELEC</t>
  </si>
  <si>
    <t>MEC</t>
  </si>
  <si>
    <t>ELC</t>
  </si>
  <si>
    <t>Inventaires à préparer - Overall</t>
  </si>
  <si>
    <t>CEA12</t>
  </si>
  <si>
    <t>CEA1</t>
  </si>
  <si>
    <t>R</t>
  </si>
  <si>
    <t>test-annexe-code-1</t>
  </si>
  <si>
    <t>test-annexe-code-2</t>
  </si>
  <si>
    <t>test-annexe-code-3</t>
  </si>
  <si>
    <t>test-annexe-code-4</t>
  </si>
  <si>
    <t>test-annexe-code-5</t>
  </si>
  <si>
    <t>test-annexe-code-6</t>
  </si>
  <si>
    <t>test-annexe-code-7</t>
  </si>
  <si>
    <t>test-annexe-code-8</t>
  </si>
  <si>
    <t>test-annexe-code-9</t>
  </si>
  <si>
    <t>test-annexe-code-10</t>
  </si>
  <si>
    <t>test-annexe-code-11</t>
  </si>
  <si>
    <t>test-annexe-code-12</t>
  </si>
  <si>
    <t>test-annexe-code-13</t>
  </si>
  <si>
    <t>test-annexe-code-14</t>
  </si>
  <si>
    <t>test-annexe-code-15</t>
  </si>
  <si>
    <t>test-annexe-code-16</t>
  </si>
  <si>
    <t>test-annexe-code-17</t>
  </si>
  <si>
    <t>test-annexe-code-18</t>
  </si>
  <si>
    <t>test-annexe-code-19</t>
  </si>
  <si>
    <t>test-annexe-code-20</t>
  </si>
  <si>
    <t>test-annexe-code-21</t>
  </si>
  <si>
    <t>test-annexe-code-22</t>
  </si>
  <si>
    <t>test-annexe-code-23</t>
  </si>
  <si>
    <t>test-annexe-code-24</t>
  </si>
  <si>
    <t>test-annexe-code-25</t>
  </si>
  <si>
    <t>sample-facture-no-111</t>
  </si>
  <si>
    <t>sample-facture-no-112</t>
  </si>
  <si>
    <t>sample-facture-no-113</t>
  </si>
  <si>
    <t>sample-facture-no-114</t>
  </si>
  <si>
    <t>sample-facture-no-115</t>
  </si>
  <si>
    <t>sample-facture-no-116</t>
  </si>
  <si>
    <t>sample-facture-no-117</t>
  </si>
  <si>
    <t>sample-facture-no-118</t>
  </si>
  <si>
    <t>sample-facture-no-119</t>
  </si>
  <si>
    <t>sample-facture-no-120</t>
  </si>
  <si>
    <t>sample-facture-no-121</t>
  </si>
  <si>
    <t>sample-facture-no-122</t>
  </si>
  <si>
    <t>sample-facture-no-123</t>
  </si>
  <si>
    <t>sample-facture-no-124</t>
  </si>
  <si>
    <t>sample-facture-no-125</t>
  </si>
  <si>
    <t>sample-facture-no-126</t>
  </si>
  <si>
    <t>sample-facture-no-127</t>
  </si>
  <si>
    <t>sample-facture-no-128</t>
  </si>
  <si>
    <t>sample-facture-no-129</t>
  </si>
  <si>
    <t>sample-facture-no-130</t>
  </si>
  <si>
    <t>sample-facture-no-131</t>
  </si>
  <si>
    <t>sample-facture-no-132</t>
  </si>
  <si>
    <t>sample-facture-no-133</t>
  </si>
  <si>
    <t>sample-facture-no-134</t>
  </si>
  <si>
    <t>sample-facture-no-135</t>
  </si>
  <si>
    <t>Any material name in french-1</t>
  </si>
  <si>
    <t>Любое название материала на русском языке-2</t>
  </si>
  <si>
    <t>Any material name in french-2</t>
  </si>
  <si>
    <t>Любое название материала на русском языке-3</t>
  </si>
  <si>
    <t>Any material name in french-3</t>
  </si>
  <si>
    <t>Любое название материала на русском языке-4</t>
  </si>
  <si>
    <t>Any material name in french-4</t>
  </si>
  <si>
    <t>Любое название материала на русском языке-5</t>
  </si>
  <si>
    <t>Any material name in french-5</t>
  </si>
  <si>
    <t>Любое название материала на русском языке-6</t>
  </si>
  <si>
    <t>Any material name in french-6</t>
  </si>
  <si>
    <t>Любое название материала на русском языке-7</t>
  </si>
  <si>
    <t>Any material name in french-7</t>
  </si>
  <si>
    <t>Любое название материала на русском языке-8</t>
  </si>
  <si>
    <t>Any material name in french-8</t>
  </si>
  <si>
    <t>Любое название материала на русском языке-9</t>
  </si>
  <si>
    <t>Any material name in french-9</t>
  </si>
  <si>
    <t>Любое название материала на русском языке-10</t>
  </si>
  <si>
    <t>Any material name in french-10</t>
  </si>
  <si>
    <t>Любое название материала на русском языке-11</t>
  </si>
  <si>
    <t>Any material name in french-11</t>
  </si>
  <si>
    <t>Любое название материала на русском языке-12</t>
  </si>
  <si>
    <t>Any material name in french-12</t>
  </si>
  <si>
    <t>Любое название материала на русском языке-13</t>
  </si>
  <si>
    <t>Any material name in french-13</t>
  </si>
  <si>
    <t>Любое название материала на русском языке-14</t>
  </si>
  <si>
    <t>Any material name in french-14</t>
  </si>
  <si>
    <t>Любое название материала на русском языке-15</t>
  </si>
  <si>
    <t>Any material name in french-15</t>
  </si>
  <si>
    <t>Любое название материала на русском языке-16</t>
  </si>
  <si>
    <t>Any material name in french-16</t>
  </si>
  <si>
    <t>Любое название материала на русском языке-17</t>
  </si>
  <si>
    <t>Any material name in french-17</t>
  </si>
  <si>
    <t>Любое название материала на русском языке-18</t>
  </si>
  <si>
    <t>Any material name in french-18</t>
  </si>
  <si>
    <t>Любое название материала на русском языке-19</t>
  </si>
  <si>
    <t>Any material name in french-19</t>
  </si>
  <si>
    <t>Любое название материала на русском языке-20</t>
  </si>
  <si>
    <t>Any material name in french-20</t>
  </si>
  <si>
    <t>Любое название материала на русском языке-21</t>
  </si>
  <si>
    <t>Any material name in french-21</t>
  </si>
  <si>
    <t>Любое название материала на русском языке-22</t>
  </si>
  <si>
    <t>Any material name in french-22</t>
  </si>
  <si>
    <t>Любое название материала на русском языке-23</t>
  </si>
  <si>
    <t>Any material name in french-23</t>
  </si>
  <si>
    <t>Любое название материала на русском языке-24</t>
  </si>
  <si>
    <t>Any material name in french-24</t>
  </si>
  <si>
    <t>Любое название материала на русском языке-25</t>
  </si>
  <si>
    <t>Any material name in french-25</t>
  </si>
  <si>
    <t>Любое название материала на русском языке-26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</si>
  <si>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</si>
  <si>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</si>
  <si>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</si>
  <si>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</si>
  <si>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</si>
  <si>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</si>
  <si>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</si>
  <si>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</si>
  <si>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</si>
  <si>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</si>
  <si>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</si>
  <si>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PROJECT NAME IN FRENCH</t>
  </si>
  <si>
    <t>НАЗВАНИЕ ПРОЕКТА НА РУССКОМ ЯЗЫКЕ</t>
  </si>
  <si>
    <t>Nom / Имя</t>
  </si>
  <si>
    <t>03.XX1.XXTE.401XX</t>
  </si>
  <si>
    <t>03.XX1.CIR.601</t>
  </si>
  <si>
    <t>03.XX1.ESC.501</t>
  </si>
  <si>
    <t>03.XX1.GTE.811</t>
  </si>
  <si>
    <t>03.XX1.GTE.821</t>
  </si>
  <si>
    <t>03.XX1.GTM.841</t>
  </si>
  <si>
    <t>03.XX1.GTM.842</t>
  </si>
  <si>
    <t>03.XX1.GTM.843</t>
  </si>
  <si>
    <t>03.XX1.LTI.701</t>
  </si>
  <si>
    <t>03.XX1.LTI.701а</t>
  </si>
  <si>
    <t>03.XX1.LTI.751</t>
  </si>
  <si>
    <t>03.XX1.LTI.752</t>
  </si>
  <si>
    <t>03.XX1.TOI.402</t>
  </si>
  <si>
    <t>03.XX2.XXSC.502</t>
  </si>
  <si>
    <t>03.XX2.XXSC.503</t>
  </si>
  <si>
    <t>03.XX2.CIR.601</t>
  </si>
  <si>
    <t>03.XX2.CIR.603</t>
  </si>
  <si>
    <t>03.XX2.CIR.604</t>
  </si>
  <si>
    <t>03.XX2.CIR.605</t>
  </si>
  <si>
    <t>03.XX2.CIR.606</t>
  </si>
  <si>
    <t>03.XX2.CIR.608</t>
  </si>
  <si>
    <t>03.XX2.ESC.502</t>
  </si>
  <si>
    <t>03.XX2.ESC.503</t>
  </si>
  <si>
    <t>X1</t>
  </si>
  <si>
    <t>X2</t>
  </si>
  <si>
    <t>Room name in Turkmen</t>
  </si>
  <si>
    <t>Room name in French</t>
  </si>
  <si>
    <t>Room name in Russian</t>
  </si>
  <si>
    <r>
      <t xml:space="preserve">PROJECT NAME IN FRENCH
</t>
    </r>
    <r>
      <rPr>
        <sz val="18"/>
        <color theme="1"/>
        <rFont val="Arial"/>
        <family val="2"/>
        <charset val="204"/>
      </rPr>
      <t>НАЗВАНИЕ ПРОЕКТА НА РУССКОМ ЯЗЫКЕ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</si>
</sst>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$-409]#,##0.00"/>
    <numFmt numFmtId="165" formatCode="_-* #,##0.00\ [$€-1]_-;\-* #,##0.00\ [$€-1]_-;_-* &quot;-&quot;??\ [$€-1]_-"/>
    <numFmt numFmtId="166" formatCode="&quot;avec 1€ =&quot;#,##0.00\ [$$-C0C]"/>
    <numFmt numFmtId="167" formatCode="#,##0.00;[Red]#,##0.00"/>
    <numFmt numFmtId="168" formatCode="#\ ###.00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ahoma"/>
      <family val="2"/>
    </font>
    <font>
      <sz val="10"/>
      <name val="Tahoma"/>
      <family val="2"/>
    </font>
    <font>
      <b/>
      <sz val="16"/>
      <name val="Tahoma"/>
      <family val="2"/>
    </font>
    <font>
      <b/>
      <sz val="10"/>
      <name val="Arial"/>
      <family val="2"/>
    </font>
    <font>
      <b/>
      <sz val="14"/>
      <name val="Arial"/>
      <family val="2"/>
    </font>
    <font>
      <sz val="20"/>
      <name val="Tahoma"/>
      <family val="2"/>
    </font>
    <font>
      <sz val="13"/>
      <name val="Tahoma"/>
      <family val="2"/>
    </font>
    <font>
      <sz val="10"/>
      <color theme="1"/>
      <name val="Calibri"/>
      <family val="2"/>
    </font>
    <font>
      <sz val="26"/>
      <color rgb="FFFF0000"/>
      <name val="Tahoma"/>
      <family val="2"/>
    </font>
    <font>
      <sz val="16"/>
      <name val="Tahoma"/>
      <family val="2"/>
    </font>
    <font>
      <sz val="16"/>
      <name val="Tahoma"/>
      <family val="2"/>
      <charset val="204"/>
    </font>
    <font>
      <sz val="14"/>
      <name val="Tahoma"/>
      <family val="2"/>
    </font>
    <font>
      <b/>
      <sz val="14"/>
      <name val="Tahoma"/>
      <family val="2"/>
    </font>
    <font>
      <b/>
      <sz val="16"/>
      <name val="Tahoma"/>
      <family val="2"/>
      <charset val="204"/>
    </font>
    <font>
      <b/>
      <sz val="12"/>
      <name val="Tahoma"/>
      <family val="2"/>
    </font>
    <font>
      <b/>
      <sz val="20"/>
      <name val="Tahoma"/>
      <family val="2"/>
      <charset val="204"/>
    </font>
    <font>
      <sz val="20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4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0"/>
      <color rgb="FF000000"/>
      <name val="Segoe UI"/>
      <family val="2"/>
      <charset val="204"/>
    </font>
    <font>
      <sz val="12"/>
      <color indexed="10"/>
      <name val="Tahoma"/>
      <family val="2"/>
    </font>
    <font>
      <sz val="10"/>
      <color indexed="10"/>
      <name val="Tahoma"/>
      <family val="2"/>
    </font>
    <font>
      <sz val="16"/>
      <color theme="1"/>
      <name val="Calibri"/>
      <family val="2"/>
      <scheme val="minor"/>
    </font>
    <font>
      <b/>
      <sz val="18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  <font>
      <sz val="20"/>
      <color theme="1"/>
      <name val="Arial"/>
      <family val="2"/>
    </font>
    <font>
      <sz val="14"/>
      <color theme="1"/>
      <name val="Arial"/>
      <family val="2"/>
    </font>
    <font>
      <sz val="17"/>
      <color theme="1"/>
      <name val="Arial"/>
      <family val="2"/>
    </font>
    <font>
      <b/>
      <sz val="17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24"/>
      <color theme="1"/>
      <name val="Arial"/>
      <family val="2"/>
      <charset val="204"/>
    </font>
    <font>
      <sz val="12"/>
      <name val="Times New Roman"/>
      <family val="1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sz val="16"/>
      <name val="Arial"/>
      <family val="2"/>
      <charset val="204"/>
    </font>
    <font>
      <b/>
      <sz val="16"/>
      <name val="Arial"/>
      <family val="2"/>
      <charset val="204"/>
    </font>
    <font>
      <b/>
      <sz val="14"/>
      <name val="Times New Roman"/>
      <family val="1"/>
    </font>
    <font>
      <b/>
      <sz val="12"/>
      <name val="Times New Roman"/>
      <family val="1"/>
      <charset val="204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double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double">
        <color indexed="64"/>
      </right>
      <top style="thin">
        <color theme="0"/>
      </top>
      <bottom style="medium">
        <color indexed="64"/>
      </bottom>
      <diagonal/>
    </border>
    <border>
      <left style="double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double">
        <color indexed="64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double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5" fillId="0" borderId="0"/>
    <xf numFmtId="0" fontId="6" fillId="0" borderId="0"/>
    <xf numFmtId="165" fontId="1" fillId="0" borderId="0" applyFont="0" applyFill="0" applyBorder="0" applyAlignment="0" applyProtection="0"/>
    <xf numFmtId="0" fontId="1" fillId="0" borderId="0"/>
    <xf numFmtId="166" fontId="9" fillId="0" borderId="0"/>
    <xf numFmtId="0" fontId="1" fillId="0" borderId="1" applyBorder="0">
      <alignment horizontal="left" indent="2"/>
    </xf>
    <xf numFmtId="0" fontId="5" fillId="2" borderId="2" applyNumberFormat="0" applyFont="0" applyFill="0" applyBorder="0" applyAlignment="0">
      <alignment horizontal="center" vertical="center"/>
    </xf>
    <xf numFmtId="43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1" fillId="0" borderId="0"/>
    <xf numFmtId="0" fontId="1" fillId="0" borderId="0"/>
  </cellStyleXfs>
  <cellXfs count="404">
    <xf numFmtId="0" fontId="0" fillId="0" borderId="0" xfId="0"/>
    <xf numFmtId="0" fontId="2" fillId="3" borderId="0" xfId="4" applyFont="1" applyFill="1" applyBorder="1" applyAlignment="1">
      <alignment horizontal="center" vertical="center" wrapText="1"/>
    </xf>
    <xf numFmtId="0" fontId="3" fillId="3" borderId="4" xfId="4" applyFont="1" applyFill="1" applyBorder="1" applyAlignment="1">
      <alignment horizontal="center" vertical="center" wrapText="1"/>
    </xf>
    <xf numFmtId="0" fontId="2" fillId="3" borderId="4" xfId="4" applyFont="1" applyFill="1" applyBorder="1" applyAlignment="1">
      <alignment horizontal="center" vertical="center" wrapText="1"/>
    </xf>
    <xf numFmtId="0" fontId="7" fillId="3" borderId="0" xfId="4" applyFont="1" applyFill="1" applyBorder="1" applyAlignment="1">
      <alignment vertical="center" wrapText="1"/>
    </xf>
    <xf numFmtId="0" fontId="3" fillId="3" borderId="29" xfId="4" applyFont="1" applyFill="1" applyBorder="1" applyAlignment="1">
      <alignment horizontal="center" vertical="center" wrapText="1"/>
    </xf>
    <xf numFmtId="0" fontId="2" fillId="3" borderId="28" xfId="4" applyFont="1" applyFill="1" applyBorder="1" applyAlignment="1">
      <alignment horizontal="center" vertical="center" wrapText="1"/>
    </xf>
    <xf numFmtId="0" fontId="11" fillId="4" borderId="5" xfId="4" applyFont="1" applyFill="1" applyBorder="1" applyAlignment="1">
      <alignment horizontal="center" vertical="center" wrapText="1"/>
    </xf>
    <xf numFmtId="0" fontId="4" fillId="4" borderId="6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left" vertical="center"/>
    </xf>
    <xf numFmtId="0" fontId="4" fillId="5" borderId="36" xfId="4" applyFont="1" applyFill="1" applyBorder="1" applyAlignment="1">
      <alignment horizontal="center" vertical="center" wrapText="1"/>
    </xf>
    <xf numFmtId="0" fontId="11" fillId="5" borderId="0" xfId="4" applyFont="1" applyFill="1" applyBorder="1" applyAlignment="1">
      <alignment horizontal="center" vertical="center" wrapText="1"/>
    </xf>
    <xf numFmtId="0" fontId="4" fillId="5" borderId="1" xfId="4" applyFont="1" applyFill="1" applyBorder="1" applyAlignment="1">
      <alignment horizontal="center" vertical="center" wrapText="1"/>
    </xf>
    <xf numFmtId="0" fontId="4" fillId="5" borderId="21" xfId="4" applyFont="1" applyFill="1" applyBorder="1" applyAlignment="1">
      <alignment horizontal="center" vertical="center" wrapText="1"/>
    </xf>
    <xf numFmtId="0" fontId="4" fillId="5" borderId="37" xfId="4" applyFont="1" applyFill="1" applyBorder="1" applyAlignment="1">
      <alignment horizontal="center" vertical="center" wrapText="1"/>
    </xf>
    <xf numFmtId="0" fontId="11" fillId="0" borderId="23" xfId="4" applyFont="1" applyBorder="1" applyAlignment="1"/>
    <xf numFmtId="0" fontId="4" fillId="0" borderId="27" xfId="4" applyFont="1" applyBorder="1" applyAlignment="1">
      <alignment wrapText="1"/>
    </xf>
    <xf numFmtId="0" fontId="11" fillId="5" borderId="38" xfId="4" applyFont="1" applyFill="1" applyBorder="1" applyAlignment="1">
      <alignment horizontal="center" vertical="center" wrapText="1"/>
    </xf>
    <xf numFmtId="0" fontId="2" fillId="3" borderId="22" xfId="4" applyFont="1" applyFill="1" applyBorder="1" applyAlignment="1">
      <alignment horizontal="center"/>
    </xf>
    <xf numFmtId="0" fontId="2" fillId="3" borderId="12" xfId="4" applyFont="1" applyFill="1" applyBorder="1" applyAlignment="1">
      <alignment horizontal="center"/>
    </xf>
    <xf numFmtId="0" fontId="2" fillId="3" borderId="12" xfId="4" applyFont="1" applyFill="1" applyBorder="1" applyAlignment="1">
      <alignment vertical="center" wrapText="1"/>
    </xf>
    <xf numFmtId="0" fontId="8" fillId="3" borderId="4" xfId="4" applyFont="1" applyFill="1" applyBorder="1" applyAlignment="1">
      <alignment horizontal="center" vertical="center" wrapText="1"/>
    </xf>
    <xf numFmtId="0" fontId="4" fillId="5" borderId="3" xfId="4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3" fillId="3" borderId="44" xfId="4" applyFont="1" applyFill="1" applyBorder="1" applyAlignment="1">
      <alignment horizontal="center" vertical="center" wrapText="1"/>
    </xf>
    <xf numFmtId="0" fontId="2" fillId="3" borderId="43" xfId="4" applyFont="1" applyFill="1" applyBorder="1" applyAlignment="1">
      <alignment horizontal="center" vertical="center" wrapText="1"/>
    </xf>
    <xf numFmtId="0" fontId="4" fillId="5" borderId="3" xfId="4" applyFont="1" applyFill="1" applyBorder="1" applyAlignment="1">
      <alignment horizontal="center" vertical="center" wrapText="1"/>
    </xf>
    <xf numFmtId="0" fontId="4" fillId="5" borderId="45" xfId="4" applyFont="1" applyFill="1" applyBorder="1" applyAlignment="1">
      <alignment horizontal="center" vertical="center" wrapText="1"/>
    </xf>
    <xf numFmtId="167" fontId="16" fillId="3" borderId="46" xfId="4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4" borderId="7" xfId="4" applyFont="1" applyFill="1" applyBorder="1" applyAlignment="1">
      <alignment horizontal="center" vertical="center" wrapText="1"/>
    </xf>
    <xf numFmtId="0" fontId="2" fillId="3" borderId="52" xfId="4" applyFont="1" applyFill="1" applyBorder="1" applyAlignment="1">
      <alignment horizontal="center" vertical="center" wrapText="1"/>
    </xf>
    <xf numFmtId="0" fontId="10" fillId="0" borderId="53" xfId="4" applyFont="1" applyFill="1" applyBorder="1" applyAlignment="1">
      <alignment vertical="center" wrapText="1"/>
    </xf>
    <xf numFmtId="0" fontId="2" fillId="3" borderId="54" xfId="4" applyFont="1" applyFill="1" applyBorder="1" applyAlignment="1">
      <alignment horizontal="center" vertical="center" wrapText="1"/>
    </xf>
    <xf numFmtId="0" fontId="2" fillId="3" borderId="55" xfId="4" applyFont="1" applyFill="1" applyBorder="1" applyAlignment="1">
      <alignment horizontal="center" vertical="center" wrapText="1"/>
    </xf>
    <xf numFmtId="0" fontId="10" fillId="0" borderId="56" xfId="4" applyFont="1" applyFill="1" applyBorder="1" applyAlignment="1">
      <alignment vertical="center" wrapText="1"/>
    </xf>
    <xf numFmtId="0" fontId="2" fillId="3" borderId="57" xfId="4" applyFont="1" applyFill="1" applyBorder="1" applyAlignment="1">
      <alignment horizontal="center" vertical="center" wrapText="1"/>
    </xf>
    <xf numFmtId="0" fontId="2" fillId="3" borderId="58" xfId="4" applyFont="1" applyFill="1" applyBorder="1" applyAlignment="1">
      <alignment horizontal="center" vertical="center" wrapText="1"/>
    </xf>
    <xf numFmtId="0" fontId="10" fillId="0" borderId="59" xfId="4" applyFont="1" applyFill="1" applyBorder="1" applyAlignment="1">
      <alignment vertical="center" wrapText="1"/>
    </xf>
    <xf numFmtId="0" fontId="2" fillId="3" borderId="60" xfId="4" applyFont="1" applyFill="1" applyBorder="1" applyAlignment="1">
      <alignment horizontal="center" vertical="center" wrapText="1"/>
    </xf>
    <xf numFmtId="0" fontId="11" fillId="3" borderId="15" xfId="4" applyFont="1" applyFill="1" applyBorder="1" applyAlignment="1">
      <alignment horizontal="center" vertical="center" wrapText="1"/>
    </xf>
    <xf numFmtId="0" fontId="11" fillId="3" borderId="19" xfId="4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2" fillId="3" borderId="62" xfId="4" applyFont="1" applyFill="1" applyBorder="1" applyAlignment="1">
      <alignment horizontal="center" vertical="center" wrapText="1"/>
    </xf>
    <xf numFmtId="0" fontId="2" fillId="3" borderId="63" xfId="4" applyFont="1" applyFill="1" applyBorder="1" applyAlignment="1">
      <alignment horizontal="center" vertical="center" wrapText="1"/>
    </xf>
    <xf numFmtId="0" fontId="3" fillId="3" borderId="64" xfId="4" applyFont="1" applyFill="1" applyBorder="1" applyAlignment="1">
      <alignment horizontal="center" vertical="center" wrapText="1"/>
    </xf>
    <xf numFmtId="0" fontId="3" fillId="3" borderId="56" xfId="4" applyFont="1" applyFill="1" applyBorder="1" applyAlignment="1">
      <alignment horizontal="center" vertical="center" wrapText="1"/>
    </xf>
    <xf numFmtId="0" fontId="0" fillId="0" borderId="56" xfId="0" applyBorder="1"/>
    <xf numFmtId="0" fontId="13" fillId="3" borderId="56" xfId="4" applyFont="1" applyFill="1" applyBorder="1" applyAlignment="1">
      <alignment horizontal="center" vertical="center" wrapText="1"/>
    </xf>
    <xf numFmtId="0" fontId="14" fillId="0" borderId="57" xfId="4" quotePrefix="1" applyFont="1" applyFill="1" applyBorder="1" applyAlignment="1">
      <alignment horizontal="center" vertical="center" wrapText="1"/>
    </xf>
    <xf numFmtId="0" fontId="14" fillId="3" borderId="56" xfId="4" applyFont="1" applyFill="1" applyBorder="1" applyAlignment="1">
      <alignment horizontal="center" vertical="center" wrapText="1"/>
    </xf>
    <xf numFmtId="0" fontId="3" fillId="3" borderId="65" xfId="4" applyFont="1" applyFill="1" applyBorder="1" applyAlignment="1">
      <alignment horizontal="center" vertical="center" wrapText="1"/>
    </xf>
    <xf numFmtId="0" fontId="3" fillId="3" borderId="66" xfId="4" applyFont="1" applyFill="1" applyBorder="1" applyAlignment="1">
      <alignment horizontal="center" vertical="center" wrapText="1"/>
    </xf>
    <xf numFmtId="0" fontId="0" fillId="0" borderId="66" xfId="0" applyBorder="1"/>
    <xf numFmtId="0" fontId="14" fillId="3" borderId="66" xfId="4" applyFont="1" applyFill="1" applyBorder="1" applyAlignment="1">
      <alignment horizontal="center" vertical="center" wrapText="1"/>
    </xf>
    <xf numFmtId="0" fontId="15" fillId="3" borderId="15" xfId="4" applyFont="1" applyFill="1" applyBorder="1" applyAlignment="1">
      <alignment horizontal="center" vertical="center" wrapText="1"/>
    </xf>
    <xf numFmtId="0" fontId="14" fillId="3" borderId="67" xfId="4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20" fillId="9" borderId="70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Protection="1">
      <protection locked="0"/>
    </xf>
    <xf numFmtId="43" fontId="20" fillId="9" borderId="70" xfId="8" applyFont="1" applyFill="1" applyBorder="1" applyAlignment="1" applyProtection="1">
      <alignment horizontal="center" vertical="center" wrapText="1"/>
    </xf>
    <xf numFmtId="43" fontId="0" fillId="0" borderId="0" xfId="8" applyFont="1" applyProtection="1">
      <protection locked="0"/>
    </xf>
    <xf numFmtId="0" fontId="0" fillId="0" borderId="0" xfId="0" applyAlignment="1"/>
    <xf numFmtId="0" fontId="22" fillId="8" borderId="68" xfId="4" applyFont="1" applyFill="1" applyBorder="1" applyAlignment="1" applyProtection="1">
      <alignment horizontal="center" vertical="center" wrapText="1"/>
    </xf>
    <xf numFmtId="0" fontId="23" fillId="8" borderId="68" xfId="4" applyFont="1" applyFill="1" applyBorder="1" applyAlignment="1" applyProtection="1">
      <alignment horizontal="center" vertical="center" wrapText="1"/>
    </xf>
    <xf numFmtId="4" fontId="23" fillId="8" borderId="68" xfId="4" applyNumberFormat="1" applyFont="1" applyFill="1" applyBorder="1" applyAlignment="1" applyProtection="1">
      <alignment horizontal="center" vertical="center" wrapText="1"/>
    </xf>
    <xf numFmtId="49" fontId="23" fillId="8" borderId="69" xfId="4" applyNumberFormat="1" applyFont="1" applyFill="1" applyBorder="1" applyAlignment="1" applyProtection="1">
      <alignment horizontal="center" vertical="center" wrapText="1"/>
    </xf>
    <xf numFmtId="0" fontId="24" fillId="7" borderId="0" xfId="0" applyFont="1" applyFill="1" applyAlignment="1" applyProtection="1">
      <alignment horizontal="center" vertical="center" wrapText="1"/>
    </xf>
    <xf numFmtId="0" fontId="24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  <protection locked="0"/>
    </xf>
    <xf numFmtId="49" fontId="25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4" fontId="25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Alignment="1">
      <alignment vertical="center"/>
    </xf>
    <xf numFmtId="168" fontId="16" fillId="7" borderId="72" xfId="10" applyNumberFormat="1" applyFont="1" applyFill="1" applyBorder="1" applyAlignment="1">
      <alignment horizontal="center" vertical="center" wrapText="1"/>
    </xf>
    <xf numFmtId="167" fontId="16" fillId="7" borderId="0" xfId="10" applyNumberFormat="1" applyFont="1" applyFill="1" applyBorder="1" applyAlignment="1">
      <alignment horizontal="center" vertical="center" wrapText="1"/>
    </xf>
    <xf numFmtId="0" fontId="2" fillId="7" borderId="0" xfId="4" applyFont="1" applyFill="1" applyBorder="1" applyAlignment="1">
      <alignment vertical="center" wrapText="1"/>
    </xf>
    <xf numFmtId="0" fontId="2" fillId="7" borderId="0" xfId="4" applyFont="1" applyFill="1" applyBorder="1" applyAlignment="1">
      <alignment horizontal="center"/>
    </xf>
    <xf numFmtId="0" fontId="2" fillId="7" borderId="73" xfId="4" applyFont="1" applyFill="1" applyBorder="1" applyAlignment="1">
      <alignment horizontal="center"/>
    </xf>
    <xf numFmtId="0" fontId="2" fillId="7" borderId="75" xfId="4" applyFont="1" applyFill="1" applyBorder="1" applyAlignment="1">
      <alignment vertical="center" wrapText="1"/>
    </xf>
    <xf numFmtId="0" fontId="2" fillId="7" borderId="48" xfId="4" applyFont="1" applyFill="1" applyBorder="1" applyAlignment="1">
      <alignment vertical="center" wrapText="1"/>
    </xf>
    <xf numFmtId="0" fontId="2" fillId="7" borderId="4" xfId="4" applyFont="1" applyFill="1" applyBorder="1" applyAlignment="1">
      <alignment horizontal="center" vertical="center" wrapText="1"/>
    </xf>
    <xf numFmtId="0" fontId="2" fillId="7" borderId="0" xfId="4" applyFont="1" applyFill="1" applyBorder="1" applyAlignment="1">
      <alignment horizontal="center" vertical="center" wrapText="1"/>
    </xf>
    <xf numFmtId="0" fontId="2" fillId="7" borderId="73" xfId="4" applyFont="1" applyFill="1" applyBorder="1" applyAlignment="1">
      <alignment horizontal="center" vertical="center" wrapText="1"/>
    </xf>
    <xf numFmtId="0" fontId="28" fillId="7" borderId="72" xfId="4" applyFont="1" applyFill="1" applyBorder="1" applyAlignment="1">
      <alignment horizontal="center" vertical="center" wrapText="1"/>
    </xf>
    <xf numFmtId="0" fontId="7" fillId="7" borderId="0" xfId="4" applyFont="1" applyFill="1" applyBorder="1" applyAlignment="1">
      <alignment vertical="center" wrapText="1"/>
    </xf>
    <xf numFmtId="0" fontId="2" fillId="7" borderId="72" xfId="4" applyFont="1" applyFill="1" applyBorder="1" applyAlignment="1">
      <alignment horizontal="center" vertical="center" wrapText="1"/>
    </xf>
    <xf numFmtId="0" fontId="29" fillId="7" borderId="86" xfId="4" applyFont="1" applyFill="1" applyBorder="1" applyAlignment="1">
      <alignment horizontal="center" vertical="center" wrapText="1"/>
    </xf>
    <xf numFmtId="0" fontId="3" fillId="7" borderId="4" xfId="4" applyFont="1" applyFill="1" applyBorder="1" applyAlignment="1">
      <alignment horizontal="center" vertical="center" wrapText="1"/>
    </xf>
    <xf numFmtId="0" fontId="3" fillId="7" borderId="87" xfId="4" applyFont="1" applyFill="1" applyBorder="1" applyAlignment="1">
      <alignment horizontal="center" vertical="center" wrapText="1"/>
    </xf>
    <xf numFmtId="0" fontId="3" fillId="7" borderId="0" xfId="4" applyFont="1" applyFill="1" applyBorder="1" applyAlignment="1">
      <alignment horizontal="center" vertical="center" wrapText="1"/>
    </xf>
    <xf numFmtId="0" fontId="3" fillId="7" borderId="73" xfId="4" applyFont="1" applyFill="1" applyBorder="1" applyAlignment="1">
      <alignment horizontal="center" vertical="center" wrapText="1"/>
    </xf>
    <xf numFmtId="0" fontId="3" fillId="7" borderId="3" xfId="4" applyFont="1" applyFill="1" applyBorder="1" applyAlignment="1">
      <alignment horizontal="center" vertical="center" wrapText="1"/>
    </xf>
    <xf numFmtId="0" fontId="3" fillId="7" borderId="89" xfId="4" applyFont="1" applyFill="1" applyBorder="1" applyAlignment="1">
      <alignment horizontal="center" vertical="center" wrapText="1"/>
    </xf>
    <xf numFmtId="49" fontId="26" fillId="0" borderId="71" xfId="0" applyNumberFormat="1" applyFont="1" applyFill="1" applyBorder="1" applyAlignment="1" applyProtection="1">
      <alignment horizontal="left" vertical="center"/>
      <protection locked="0"/>
    </xf>
    <xf numFmtId="49" fontId="25" fillId="0" borderId="0" xfId="0" applyNumberFormat="1" applyFont="1" applyAlignment="1" applyProtection="1">
      <alignment horizontal="left" vertical="center"/>
      <protection locked="0"/>
    </xf>
    <xf numFmtId="0" fontId="13" fillId="7" borderId="3" xfId="4" applyFont="1" applyFill="1" applyBorder="1" applyAlignment="1">
      <alignment horizontal="right" vertical="center" wrapText="1"/>
    </xf>
    <xf numFmtId="0" fontId="13" fillId="7" borderId="5" xfId="4" applyFont="1" applyFill="1" applyBorder="1" applyAlignment="1">
      <alignment horizontal="center" vertical="center" wrapText="1"/>
    </xf>
    <xf numFmtId="0" fontId="14" fillId="7" borderId="6" xfId="4" applyFont="1" applyFill="1" applyBorder="1" applyAlignment="1">
      <alignment horizontal="center" vertical="center" wrapText="1"/>
    </xf>
    <xf numFmtId="0" fontId="14" fillId="7" borderId="84" xfId="4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0" xfId="0" applyFont="1"/>
    <xf numFmtId="0" fontId="13" fillId="7" borderId="37" xfId="10" applyFont="1" applyFill="1" applyBorder="1" applyAlignment="1">
      <alignment vertical="center" wrapText="1"/>
    </xf>
    <xf numFmtId="167" fontId="14" fillId="7" borderId="0" xfId="10" applyNumberFormat="1" applyFont="1" applyFill="1" applyBorder="1" applyAlignment="1">
      <alignment horizontal="center" vertical="center" wrapText="1"/>
    </xf>
    <xf numFmtId="168" fontId="14" fillId="7" borderId="72" xfId="10" applyNumberFormat="1" applyFont="1" applyFill="1" applyBorder="1" applyAlignment="1">
      <alignment horizontal="center" vertical="center" wrapText="1"/>
    </xf>
    <xf numFmtId="0" fontId="13" fillId="7" borderId="0" xfId="10" applyFont="1" applyFill="1" applyBorder="1" applyAlignment="1">
      <alignment vertical="center" wrapText="1"/>
    </xf>
    <xf numFmtId="0" fontId="14" fillId="7" borderId="7" xfId="4" applyFont="1" applyFill="1" applyBorder="1" applyAlignment="1">
      <alignment horizontal="center" vertical="center" wrapText="1"/>
    </xf>
    <xf numFmtId="0" fontId="15" fillId="0" borderId="97" xfId="4" applyFont="1" applyFill="1" applyBorder="1" applyAlignment="1">
      <alignment horizontal="center" vertical="center" wrapText="1"/>
    </xf>
    <xf numFmtId="0" fontId="11" fillId="0" borderId="19" xfId="4" applyFont="1" applyFill="1" applyBorder="1" applyAlignment="1">
      <alignment horizontal="center" vertical="center" wrapText="1"/>
    </xf>
    <xf numFmtId="0" fontId="15" fillId="0" borderId="15" xfId="4" applyFont="1" applyFill="1" applyBorder="1" applyAlignment="1">
      <alignment horizontal="center" vertical="center" wrapText="1"/>
    </xf>
    <xf numFmtId="167" fontId="14" fillId="7" borderId="8" xfId="4" applyNumberFormat="1" applyFont="1" applyFill="1" applyBorder="1" applyAlignment="1">
      <alignment horizontal="center" vertical="center" wrapText="1"/>
    </xf>
    <xf numFmtId="168" fontId="14" fillId="7" borderId="74" xfId="4" applyNumberFormat="1" applyFont="1" applyFill="1" applyBorder="1" applyAlignment="1">
      <alignment horizontal="center" vertical="center" wrapText="1"/>
    </xf>
    <xf numFmtId="0" fontId="13" fillId="7" borderId="3" xfId="4" applyFont="1" applyFill="1" applyBorder="1" applyAlignment="1">
      <alignment horizontal="right" vertical="top" wrapText="1"/>
    </xf>
    <xf numFmtId="0" fontId="14" fillId="0" borderId="88" xfId="4" quotePrefix="1" applyFont="1" applyBorder="1" applyAlignment="1">
      <alignment horizontal="center" vertical="center" wrapText="1"/>
    </xf>
    <xf numFmtId="0" fontId="14" fillId="7" borderId="0" xfId="4" applyFont="1" applyFill="1" applyAlignment="1">
      <alignment horizontal="right" wrapText="1"/>
    </xf>
    <xf numFmtId="0" fontId="13" fillId="7" borderId="0" xfId="4" applyFont="1" applyFill="1" applyAlignment="1">
      <alignment horizontal="right" vertical="top" wrapText="1"/>
    </xf>
    <xf numFmtId="0" fontId="14" fillId="0" borderId="3" xfId="4" applyFont="1" applyBorder="1" applyAlignment="1">
      <alignment horizontal="center" vertical="center" wrapText="1"/>
    </xf>
    <xf numFmtId="0" fontId="25" fillId="0" borderId="0" xfId="0" applyFont="1" applyFill="1" applyAlignment="1" applyProtection="1">
      <alignment horizontal="left" vertical="center"/>
      <protection locked="0"/>
    </xf>
    <xf numFmtId="49" fontId="26" fillId="0" borderId="7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35" fillId="0" borderId="0" xfId="0" applyFont="1"/>
    <xf numFmtId="0" fontId="35" fillId="0" borderId="86" xfId="0" applyFont="1" applyBorder="1"/>
    <xf numFmtId="0" fontId="35" fillId="0" borderId="4" xfId="0" applyFont="1" applyBorder="1"/>
    <xf numFmtId="0" fontId="35" fillId="0" borderId="87" xfId="0" applyFont="1" applyBorder="1"/>
    <xf numFmtId="0" fontId="35" fillId="0" borderId="72" xfId="0" applyFont="1" applyBorder="1"/>
    <xf numFmtId="0" fontId="35" fillId="0" borderId="73" xfId="0" applyFont="1" applyBorder="1"/>
    <xf numFmtId="0" fontId="35" fillId="0" borderId="0" xfId="0" applyFont="1" applyAlignment="1">
      <alignment vertical="top"/>
    </xf>
    <xf numFmtId="0" fontId="35" fillId="0" borderId="72" xfId="0" applyFont="1" applyBorder="1" applyAlignment="1">
      <alignment vertical="top"/>
    </xf>
    <xf numFmtId="0" fontId="35" fillId="0" borderId="73" xfId="0" applyFont="1" applyBorder="1" applyAlignment="1">
      <alignment vertical="top"/>
    </xf>
    <xf numFmtId="0" fontId="37" fillId="0" borderId="0" xfId="0" applyFont="1"/>
    <xf numFmtId="0" fontId="37" fillId="0" borderId="72" xfId="0" applyFont="1" applyBorder="1"/>
    <xf numFmtId="0" fontId="37" fillId="0" borderId="73" xfId="0" applyFont="1" applyBorder="1"/>
    <xf numFmtId="0" fontId="42" fillId="0" borderId="0" xfId="0" applyFont="1"/>
    <xf numFmtId="0" fontId="42" fillId="0" borderId="72" xfId="0" applyFont="1" applyBorder="1"/>
    <xf numFmtId="0" fontId="42" fillId="0" borderId="73" xfId="0" applyFont="1" applyBorder="1"/>
    <xf numFmtId="0" fontId="35" fillId="0" borderId="40" xfId="0" applyFont="1" applyBorder="1"/>
    <xf numFmtId="0" fontId="35" fillId="0" borderId="9" xfId="0" applyFont="1" applyBorder="1"/>
    <xf numFmtId="0" fontId="35" fillId="0" borderId="18" xfId="0" applyFont="1" applyBorder="1"/>
    <xf numFmtId="0" fontId="35" fillId="0" borderId="98" xfId="0" applyFont="1" applyBorder="1"/>
    <xf numFmtId="0" fontId="35" fillId="0" borderId="37" xfId="0" applyFont="1" applyBorder="1"/>
    <xf numFmtId="0" fontId="35" fillId="0" borderId="75" xfId="0" applyFont="1" applyBorder="1"/>
    <xf numFmtId="0" fontId="35" fillId="0" borderId="48" xfId="0" applyFont="1" applyBorder="1"/>
    <xf numFmtId="0" fontId="35" fillId="0" borderId="17" xfId="0" applyFont="1" applyBorder="1"/>
    <xf numFmtId="0" fontId="35" fillId="0" borderId="0" xfId="0" applyFont="1" applyAlignment="1">
      <alignment wrapText="1"/>
    </xf>
    <xf numFmtId="0" fontId="35" fillId="0" borderId="88" xfId="0" applyFont="1" applyBorder="1"/>
    <xf numFmtId="0" fontId="35" fillId="0" borderId="3" xfId="0" applyFont="1" applyBorder="1"/>
    <xf numFmtId="0" fontId="35" fillId="0" borderId="89" xfId="0" applyFont="1" applyBorder="1"/>
    <xf numFmtId="0" fontId="52" fillId="0" borderId="0" xfId="11" applyFont="1"/>
    <xf numFmtId="0" fontId="52" fillId="7" borderId="40" xfId="11" applyFont="1" applyFill="1" applyBorder="1"/>
    <xf numFmtId="0" fontId="52" fillId="7" borderId="9" xfId="11" applyFont="1" applyFill="1" applyBorder="1"/>
    <xf numFmtId="0" fontId="52" fillId="7" borderId="18" xfId="11" applyFont="1" applyFill="1" applyBorder="1"/>
    <xf numFmtId="0" fontId="52" fillId="7" borderId="98" xfId="11" applyFont="1" applyFill="1" applyBorder="1"/>
    <xf numFmtId="0" fontId="52" fillId="7" borderId="0" xfId="11" applyFont="1" applyFill="1"/>
    <xf numFmtId="0" fontId="52" fillId="7" borderId="37" xfId="11" applyFont="1" applyFill="1" applyBorder="1"/>
    <xf numFmtId="0" fontId="54" fillId="7" borderId="98" xfId="11" applyFont="1" applyFill="1" applyBorder="1"/>
    <xf numFmtId="0" fontId="54" fillId="7" borderId="0" xfId="11" applyFont="1" applyFill="1"/>
    <xf numFmtId="0" fontId="53" fillId="7" borderId="0" xfId="11" applyFont="1" applyFill="1" applyAlignment="1">
      <alignment horizontal="center"/>
    </xf>
    <xf numFmtId="0" fontId="57" fillId="7" borderId="0" xfId="11" applyFont="1" applyFill="1" applyAlignment="1">
      <alignment horizontal="center"/>
    </xf>
    <xf numFmtId="14" fontId="58" fillId="0" borderId="0" xfId="11" applyNumberFormat="1" applyFont="1"/>
    <xf numFmtId="0" fontId="52" fillId="7" borderId="75" xfId="11" applyFont="1" applyFill="1" applyBorder="1"/>
    <xf numFmtId="0" fontId="52" fillId="7" borderId="48" xfId="11" applyFont="1" applyFill="1" applyBorder="1"/>
    <xf numFmtId="0" fontId="52" fillId="7" borderId="17" xfId="11" applyFont="1" applyFill="1" applyBorder="1"/>
    <xf numFmtId="0" fontId="54" fillId="7" borderId="0" xfId="11" applyFont="1" applyFill="1" applyAlignment="1">
      <alignment horizontal="center"/>
    </xf>
    <xf numFmtId="49" fontId="36" fillId="0" borderId="11" xfId="0" applyNumberFormat="1" applyFont="1" applyFill="1" applyBorder="1" applyAlignment="1">
      <alignment horizontal="center" vertical="center"/>
    </xf>
    <xf numFmtId="49" fontId="36" fillId="0" borderId="12" xfId="0" applyNumberFormat="1" applyFont="1" applyFill="1" applyBorder="1" applyAlignment="1">
      <alignment horizontal="center" vertical="center"/>
    </xf>
    <xf numFmtId="49" fontId="36" fillId="0" borderId="23" xfId="0" applyNumberFormat="1" applyFont="1" applyFill="1" applyBorder="1" applyAlignment="1">
      <alignment horizontal="center" vertical="center"/>
    </xf>
    <xf numFmtId="49" fontId="36" fillId="0" borderId="11" xfId="0" quotePrefix="1" applyNumberFormat="1" applyFont="1" applyFill="1" applyBorder="1" applyAlignment="1">
      <alignment horizontal="center" vertical="center"/>
    </xf>
    <xf numFmtId="49" fontId="36" fillId="0" borderId="23" xfId="0" quotePrefix="1" applyNumberFormat="1" applyFont="1" applyFill="1" applyBorder="1" applyAlignment="1">
      <alignment horizontal="center" vertical="center"/>
    </xf>
    <xf numFmtId="0" fontId="26" fillId="0" borderId="71" xfId="0" quotePrefix="1" applyFont="1" applyFill="1" applyBorder="1" applyAlignment="1" applyProtection="1">
      <alignment horizontal="center" vertical="center"/>
      <protection locked="0"/>
    </xf>
    <xf numFmtId="0" fontId="26" fillId="0" borderId="71" xfId="0" applyFont="1" applyFill="1" applyBorder="1" applyAlignment="1" applyProtection="1">
      <alignment horizontal="center" vertical="center"/>
      <protection locked="0"/>
    </xf>
    <xf numFmtId="0" fontId="26" fillId="0" borderId="71" xfId="0" applyFont="1" applyFill="1" applyBorder="1" applyAlignment="1" applyProtection="1">
      <alignment horizontal="left" vertical="center" wrapText="1"/>
      <protection locked="0"/>
    </xf>
    <xf numFmtId="4" fontId="26" fillId="0" borderId="7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Alignment="1" applyProtection="1">
      <alignment horizontal="center" vertical="center"/>
      <protection locked="0"/>
    </xf>
    <xf numFmtId="49" fontId="25" fillId="0" borderId="0" xfId="0" applyNumberFormat="1" applyFont="1" applyFill="1" applyAlignment="1" applyProtection="1">
      <alignment horizontal="center" vertical="center"/>
      <protection locked="0"/>
    </xf>
    <xf numFmtId="0" fontId="25" fillId="0" borderId="0" xfId="0" applyFont="1" applyFill="1" applyAlignment="1" applyProtection="1">
      <alignment horizontal="left" vertical="center" wrapText="1"/>
      <protection locked="0"/>
    </xf>
    <xf numFmtId="4" fontId="25" fillId="0" borderId="0" xfId="0" applyNumberFormat="1" applyFont="1" applyFill="1" applyAlignment="1" applyProtection="1">
      <alignment horizontal="center" vertical="center"/>
      <protection locked="0"/>
    </xf>
    <xf numFmtId="49" fontId="25" fillId="0" borderId="0" xfId="0" applyNumberFormat="1" applyFont="1" applyFill="1" applyAlignment="1" applyProtection="1">
      <alignment horizontal="left" vertical="center"/>
      <protection locked="0"/>
    </xf>
    <xf numFmtId="49" fontId="26" fillId="10" borderId="71" xfId="0" applyNumberFormat="1" applyFont="1" applyFill="1" applyBorder="1" applyAlignment="1" applyProtection="1">
      <alignment horizontal="left" vertical="center"/>
      <protection locked="0"/>
    </xf>
    <xf numFmtId="164" fontId="11" fillId="0" borderId="17" xfId="4" quotePrefix="1" applyNumberFormat="1" applyFont="1" applyFill="1" applyBorder="1" applyAlignment="1">
      <alignment horizontal="center" vertical="center" wrapText="1"/>
    </xf>
    <xf numFmtId="164" fontId="11" fillId="0" borderId="48" xfId="4" quotePrefix="1" applyNumberFormat="1" applyFont="1" applyFill="1" applyBorder="1" applyAlignment="1">
      <alignment horizontal="center" vertical="center" wrapText="1"/>
    </xf>
    <xf numFmtId="164" fontId="11" fillId="0" borderId="18" xfId="4" quotePrefix="1" applyNumberFormat="1" applyFont="1" applyFill="1" applyBorder="1" applyAlignment="1">
      <alignment horizontal="center" vertical="center" wrapText="1"/>
    </xf>
    <xf numFmtId="164" fontId="11" fillId="0" borderId="9" xfId="4" quotePrefix="1" applyNumberFormat="1" applyFont="1" applyFill="1" applyBorder="1" applyAlignment="1">
      <alignment horizontal="center" vertical="center" wrapText="1"/>
    </xf>
    <xf numFmtId="168" fontId="11" fillId="0" borderId="8" xfId="4" applyNumberFormat="1" applyFont="1" applyFill="1" applyBorder="1" applyAlignment="1">
      <alignment horizontal="center" vertical="center" wrapText="1"/>
    </xf>
    <xf numFmtId="168" fontId="11" fillId="7" borderId="74" xfId="4" applyNumberFormat="1" applyFont="1" applyFill="1" applyBorder="1" applyAlignment="1">
      <alignment horizontal="center" vertical="center" wrapText="1"/>
    </xf>
    <xf numFmtId="2" fontId="11" fillId="0" borderId="77" xfId="4" applyNumberFormat="1" applyFont="1" applyFill="1" applyBorder="1" applyAlignment="1">
      <alignment horizontal="left" vertical="center" wrapText="1"/>
    </xf>
    <xf numFmtId="2" fontId="11" fillId="0" borderId="13" xfId="4" applyNumberFormat="1" applyFont="1" applyFill="1" applyBorder="1" applyAlignment="1">
      <alignment horizontal="left" vertical="center" wrapText="1"/>
    </xf>
    <xf numFmtId="2" fontId="11" fillId="0" borderId="78" xfId="4" applyNumberFormat="1" applyFont="1" applyFill="1" applyBorder="1" applyAlignment="1">
      <alignment horizontal="left" vertical="center" wrapText="1"/>
    </xf>
    <xf numFmtId="2" fontId="11" fillId="0" borderId="15" xfId="4" applyNumberFormat="1" applyFont="1" applyFill="1" applyBorder="1" applyAlignment="1">
      <alignment horizontal="left" vertical="center" wrapText="1"/>
    </xf>
    <xf numFmtId="49" fontId="11" fillId="0" borderId="8" xfId="4" applyNumberFormat="1" applyFont="1" applyFill="1" applyBorder="1" applyAlignment="1">
      <alignment horizontal="center" vertical="center" wrapText="1"/>
    </xf>
    <xf numFmtId="0" fontId="11" fillId="0" borderId="8" xfId="4" applyFont="1" applyFill="1" applyBorder="1" applyAlignment="1">
      <alignment horizontal="center" vertical="center" wrapText="1"/>
    </xf>
    <xf numFmtId="2" fontId="15" fillId="0" borderId="78" xfId="4" applyNumberFormat="1" applyFont="1" applyFill="1" applyBorder="1" applyAlignment="1">
      <alignment horizontal="left" vertical="center" wrapText="1"/>
    </xf>
    <xf numFmtId="0" fontId="13" fillId="0" borderId="94" xfId="10" applyFont="1" applyBorder="1" applyAlignment="1">
      <alignment horizontal="left" vertical="center" wrapText="1"/>
    </xf>
    <xf numFmtId="0" fontId="13" fillId="0" borderId="95" xfId="10" applyFont="1" applyBorder="1" applyAlignment="1">
      <alignment horizontal="left" vertical="center" wrapText="1"/>
    </xf>
    <xf numFmtId="0" fontId="13" fillId="0" borderId="96" xfId="10" applyFont="1" applyBorder="1" applyAlignment="1">
      <alignment horizontal="left" vertical="center" wrapText="1"/>
    </xf>
    <xf numFmtId="0" fontId="14" fillId="0" borderId="11" xfId="10" applyFont="1" applyBorder="1" applyAlignment="1">
      <alignment horizontal="center" vertical="center" wrapText="1"/>
    </xf>
    <xf numFmtId="0" fontId="14" fillId="0" borderId="12" xfId="10" applyFont="1" applyBorder="1" applyAlignment="1">
      <alignment horizontal="center" vertical="center" wrapText="1"/>
    </xf>
    <xf numFmtId="0" fontId="14" fillId="0" borderId="93" xfId="10" applyFont="1" applyBorder="1" applyAlignment="1">
      <alignment horizontal="center" vertical="center" wrapText="1"/>
    </xf>
    <xf numFmtId="0" fontId="13" fillId="0" borderId="11" xfId="10" applyFont="1" applyBorder="1" applyAlignment="1">
      <alignment horizontal="left" vertical="center" wrapText="1"/>
    </xf>
    <xf numFmtId="0" fontId="13" fillId="0" borderId="12" xfId="10" applyFont="1" applyBorder="1" applyAlignment="1">
      <alignment horizontal="left" vertical="center" wrapText="1"/>
    </xf>
    <xf numFmtId="0" fontId="13" fillId="0" borderId="93" xfId="10" applyFont="1" applyBorder="1" applyAlignment="1">
      <alignment horizontal="left" vertical="center" wrapText="1"/>
    </xf>
    <xf numFmtId="0" fontId="13" fillId="0" borderId="11" xfId="10" applyFont="1" applyBorder="1" applyAlignment="1">
      <alignment horizontal="left"/>
    </xf>
    <xf numFmtId="0" fontId="13" fillId="0" borderId="12" xfId="10" applyFont="1" applyBorder="1" applyAlignment="1">
      <alignment horizontal="left"/>
    </xf>
    <xf numFmtId="0" fontId="13" fillId="0" borderId="93" xfId="10" applyFont="1" applyBorder="1" applyAlignment="1">
      <alignment horizontal="left"/>
    </xf>
    <xf numFmtId="0" fontId="13" fillId="0" borderId="8" xfId="10" applyFont="1" applyBorder="1" applyAlignment="1">
      <alignment horizontal="left"/>
    </xf>
    <xf numFmtId="0" fontId="13" fillId="0" borderId="91" xfId="10" applyFont="1" applyBorder="1" applyAlignment="1">
      <alignment horizontal="left" wrapText="1"/>
    </xf>
    <xf numFmtId="0" fontId="13" fillId="0" borderId="8" xfId="10" applyFont="1" applyBorder="1" applyAlignment="1">
      <alignment horizontal="left" wrapText="1"/>
    </xf>
    <xf numFmtId="0" fontId="13" fillId="0" borderId="91" xfId="10" applyFont="1" applyBorder="1" applyAlignment="1">
      <alignment horizontal="left" vertical="center" wrapText="1"/>
    </xf>
    <xf numFmtId="0" fontId="13" fillId="0" borderId="8" xfId="10" applyFont="1" applyBorder="1" applyAlignment="1">
      <alignment horizontal="left" vertical="center" wrapText="1"/>
    </xf>
    <xf numFmtId="0" fontId="13" fillId="0" borderId="92" xfId="10" applyFont="1" applyBorder="1" applyAlignment="1">
      <alignment horizontal="left" vertical="center" wrapText="1"/>
    </xf>
    <xf numFmtId="0" fontId="13" fillId="0" borderId="90" xfId="10" applyFont="1" applyBorder="1" applyAlignment="1">
      <alignment horizontal="left" vertical="center" wrapText="1"/>
    </xf>
    <xf numFmtId="0" fontId="2" fillId="7" borderId="76" xfId="4" applyFont="1" applyFill="1" applyBorder="1" applyAlignment="1">
      <alignment horizontal="center"/>
    </xf>
    <xf numFmtId="0" fontId="2" fillId="7" borderId="48" xfId="4" applyFont="1" applyFill="1" applyBorder="1" applyAlignment="1">
      <alignment horizontal="center"/>
    </xf>
    <xf numFmtId="2" fontId="15" fillId="0" borderId="78" xfId="4" quotePrefix="1" applyNumberFormat="1" applyFont="1" applyFill="1" applyBorder="1" applyAlignment="1">
      <alignment horizontal="left" vertical="center" wrapText="1"/>
    </xf>
    <xf numFmtId="164" fontId="11" fillId="7" borderId="21" xfId="4" quotePrefix="1" applyNumberFormat="1" applyFont="1" applyFill="1" applyBorder="1" applyAlignment="1">
      <alignment horizontal="center" vertical="center" wrapText="1"/>
    </xf>
    <xf numFmtId="164" fontId="11" fillId="7" borderId="36" xfId="4" quotePrefix="1" applyNumberFormat="1" applyFont="1" applyFill="1" applyBorder="1" applyAlignment="1">
      <alignment horizontal="center" vertical="center" wrapText="1"/>
    </xf>
    <xf numFmtId="164" fontId="11" fillId="7" borderId="18" xfId="4" quotePrefix="1" applyNumberFormat="1" applyFont="1" applyFill="1" applyBorder="1" applyAlignment="1">
      <alignment horizontal="center" vertical="center" wrapText="1"/>
    </xf>
    <xf numFmtId="164" fontId="11" fillId="7" borderId="40" xfId="4" quotePrefix="1" applyNumberFormat="1" applyFont="1" applyFill="1" applyBorder="1" applyAlignment="1">
      <alignment horizontal="center" vertical="center" wrapText="1"/>
    </xf>
    <xf numFmtId="0" fontId="8" fillId="7" borderId="4" xfId="4" applyFont="1" applyFill="1" applyBorder="1" applyAlignment="1">
      <alignment horizontal="center" vertical="center" wrapText="1"/>
    </xf>
    <xf numFmtId="0" fontId="14" fillId="7" borderId="85" xfId="4" applyFont="1" applyFill="1" applyBorder="1" applyAlignment="1">
      <alignment horizontal="center" vertical="center" wrapText="1"/>
    </xf>
    <xf numFmtId="0" fontId="14" fillId="7" borderId="14" xfId="4" applyFont="1" applyFill="1" applyBorder="1" applyAlignment="1">
      <alignment horizontal="center" vertical="center" wrapText="1"/>
    </xf>
    <xf numFmtId="0" fontId="14" fillId="7" borderId="7" xfId="4" applyFont="1" applyFill="1" applyBorder="1" applyAlignment="1">
      <alignment horizontal="center" vertical="center" wrapText="1"/>
    </xf>
    <xf numFmtId="0" fontId="14" fillId="7" borderId="5" xfId="4" applyFont="1" applyFill="1" applyBorder="1" applyAlignment="1">
      <alignment horizontal="center" vertical="center" wrapText="1"/>
    </xf>
    <xf numFmtId="0" fontId="4" fillId="7" borderId="3" xfId="4" applyFont="1" applyFill="1" applyBorder="1" applyAlignment="1">
      <alignment horizontal="center" vertical="center" wrapText="1"/>
    </xf>
    <xf numFmtId="0" fontId="11" fillId="7" borderId="0" xfId="4" applyFont="1" applyFill="1" applyBorder="1" applyAlignment="1">
      <alignment horizontal="center" vertical="center" wrapText="1"/>
    </xf>
    <xf numFmtId="0" fontId="14" fillId="0" borderId="0" xfId="4" applyFont="1" applyAlignment="1">
      <alignment horizontal="center" wrapText="1"/>
    </xf>
    <xf numFmtId="0" fontId="14" fillId="0" borderId="72" xfId="4" applyFont="1" applyBorder="1" applyAlignment="1">
      <alignment horizontal="center" wrapText="1"/>
    </xf>
    <xf numFmtId="0" fontId="13" fillId="0" borderId="0" xfId="4" quotePrefix="1" applyFont="1" applyAlignment="1">
      <alignment horizontal="center" vertical="top" wrapText="1"/>
    </xf>
    <xf numFmtId="0" fontId="13" fillId="0" borderId="72" xfId="4" quotePrefix="1" applyFont="1" applyBorder="1" applyAlignment="1">
      <alignment horizontal="center" vertical="top" wrapText="1"/>
    </xf>
    <xf numFmtId="168" fontId="11" fillId="0" borderId="81" xfId="4" applyNumberFormat="1" applyFont="1" applyFill="1" applyBorder="1" applyAlignment="1">
      <alignment horizontal="center" vertical="center" wrapText="1"/>
    </xf>
    <xf numFmtId="168" fontId="11" fillId="0" borderId="16" xfId="4" applyNumberFormat="1" applyFont="1" applyFill="1" applyBorder="1" applyAlignment="1">
      <alignment horizontal="center" vertical="center" wrapText="1"/>
    </xf>
    <xf numFmtId="168" fontId="11" fillId="7" borderId="80" xfId="4" applyNumberFormat="1" applyFont="1" applyFill="1" applyBorder="1" applyAlignment="1">
      <alignment horizontal="center" vertical="center" wrapText="1"/>
    </xf>
    <xf numFmtId="168" fontId="11" fillId="7" borderId="79" xfId="4" applyNumberFormat="1" applyFont="1" applyFill="1" applyBorder="1" applyAlignment="1">
      <alignment horizontal="center" vertical="center" wrapText="1"/>
    </xf>
    <xf numFmtId="0" fontId="11" fillId="7" borderId="81" xfId="4" applyFont="1" applyFill="1" applyBorder="1" applyAlignment="1">
      <alignment horizontal="center" vertical="center" wrapText="1"/>
    </xf>
    <xf numFmtId="0" fontId="11" fillId="7" borderId="16" xfId="4" applyFont="1" applyFill="1" applyBorder="1" applyAlignment="1">
      <alignment horizontal="center" vertical="center" wrapText="1"/>
    </xf>
    <xf numFmtId="2" fontId="15" fillId="0" borderId="83" xfId="4" quotePrefix="1" applyNumberFormat="1" applyFont="1" applyFill="1" applyBorder="1" applyAlignment="1">
      <alignment horizontal="left" vertical="center" wrapText="1"/>
    </xf>
    <xf numFmtId="2" fontId="11" fillId="0" borderId="82" xfId="4" applyNumberFormat="1" applyFont="1" applyFill="1" applyBorder="1" applyAlignment="1">
      <alignment horizontal="left" vertical="center" wrapText="1"/>
    </xf>
    <xf numFmtId="49" fontId="11" fillId="0" borderId="81" xfId="4" applyNumberFormat="1" applyFont="1" applyFill="1" applyBorder="1" applyAlignment="1">
      <alignment horizontal="center" vertical="center" wrapText="1"/>
    </xf>
    <xf numFmtId="49" fontId="11" fillId="0" borderId="16" xfId="4" applyNumberFormat="1" applyFont="1" applyFill="1" applyBorder="1" applyAlignment="1">
      <alignment horizontal="center" vertical="center" wrapText="1"/>
    </xf>
    <xf numFmtId="0" fontId="14" fillId="0" borderId="91" xfId="10" applyFont="1" applyBorder="1" applyAlignment="1">
      <alignment horizontal="center" vertical="center" wrapText="1"/>
    </xf>
    <xf numFmtId="0" fontId="14" fillId="0" borderId="8" xfId="10" applyFont="1" applyBorder="1" applyAlignment="1">
      <alignment horizontal="center" vertical="center" wrapText="1"/>
    </xf>
    <xf numFmtId="0" fontId="13" fillId="0" borderId="91" xfId="10" applyFont="1" applyBorder="1" applyAlignment="1">
      <alignment vertical="center" wrapText="1"/>
    </xf>
    <xf numFmtId="0" fontId="13" fillId="0" borderId="8" xfId="10" applyFont="1" applyBorder="1" applyAlignment="1">
      <alignment vertical="center" wrapText="1"/>
    </xf>
    <xf numFmtId="44" fontId="11" fillId="6" borderId="10" xfId="9" applyFont="1" applyFill="1" applyBorder="1" applyAlignment="1">
      <alignment horizontal="center" vertical="center" wrapText="1"/>
    </xf>
    <xf numFmtId="44" fontId="11" fillId="6" borderId="16" xfId="9" applyFont="1" applyFill="1" applyBorder="1" applyAlignment="1">
      <alignment horizontal="center" vertical="center" wrapText="1"/>
    </xf>
    <xf numFmtId="164" fontId="2" fillId="3" borderId="17" xfId="4" quotePrefix="1" applyNumberFormat="1" applyFont="1" applyFill="1" applyBorder="1" applyAlignment="1">
      <alignment horizontal="center" vertical="center" wrapText="1"/>
    </xf>
    <xf numFmtId="164" fontId="2" fillId="3" borderId="48" xfId="4" quotePrefix="1" applyNumberFormat="1" applyFont="1" applyFill="1" applyBorder="1" applyAlignment="1">
      <alignment horizontal="center" vertical="center" wrapText="1"/>
    </xf>
    <xf numFmtId="164" fontId="2" fillId="3" borderId="49" xfId="4" quotePrefix="1" applyNumberFormat="1" applyFont="1" applyFill="1" applyBorder="1" applyAlignment="1">
      <alignment horizontal="center" vertical="center" wrapText="1"/>
    </xf>
    <xf numFmtId="164" fontId="2" fillId="3" borderId="18" xfId="4" quotePrefix="1" applyNumberFormat="1" applyFont="1" applyFill="1" applyBorder="1" applyAlignment="1">
      <alignment horizontal="center" vertical="center" wrapText="1"/>
    </xf>
    <xf numFmtId="164" fontId="2" fillId="3" borderId="9" xfId="4" quotePrefix="1" applyNumberFormat="1" applyFont="1" applyFill="1" applyBorder="1" applyAlignment="1">
      <alignment horizontal="center" vertical="center" wrapText="1"/>
    </xf>
    <xf numFmtId="164" fontId="2" fillId="3" borderId="50" xfId="4" quotePrefix="1" applyNumberFormat="1" applyFont="1" applyFill="1" applyBorder="1" applyAlignment="1">
      <alignment horizontal="center" vertical="center" wrapText="1"/>
    </xf>
    <xf numFmtId="2" fontId="11" fillId="0" borderId="32" xfId="4" applyNumberFormat="1" applyFont="1" applyFill="1" applyBorder="1" applyAlignment="1">
      <alignment horizontal="left" vertical="center" wrapText="1"/>
    </xf>
    <xf numFmtId="2" fontId="11" fillId="0" borderId="42" xfId="4" applyNumberFormat="1" applyFont="1" applyFill="1" applyBorder="1" applyAlignment="1">
      <alignment horizontal="left" vertical="center" wrapText="1"/>
    </xf>
    <xf numFmtId="2" fontId="15" fillId="0" borderId="34" xfId="4" applyNumberFormat="1" applyFont="1" applyFill="1" applyBorder="1" applyAlignment="1">
      <alignment horizontal="left" vertical="center" wrapText="1"/>
    </xf>
    <xf numFmtId="2" fontId="11" fillId="0" borderId="41" xfId="4" applyNumberFormat="1" applyFont="1" applyFill="1" applyBorder="1" applyAlignment="1">
      <alignment horizontal="left" vertical="center" wrapText="1"/>
    </xf>
    <xf numFmtId="2" fontId="11" fillId="0" borderId="20" xfId="4" applyNumberFormat="1" applyFont="1" applyFill="1" applyBorder="1" applyAlignment="1">
      <alignment horizontal="left" vertical="center" wrapText="1"/>
    </xf>
    <xf numFmtId="49" fontId="13" fillId="6" borderId="10" xfId="4" applyNumberFormat="1" applyFont="1" applyFill="1" applyBorder="1" applyAlignment="1">
      <alignment horizontal="center" vertical="center" wrapText="1"/>
    </xf>
    <xf numFmtId="49" fontId="13" fillId="6" borderId="16" xfId="4" applyNumberFormat="1" applyFont="1" applyFill="1" applyBorder="1" applyAlignment="1">
      <alignment horizontal="center" vertical="center" wrapText="1"/>
    </xf>
    <xf numFmtId="0" fontId="11" fillId="3" borderId="8" xfId="4" applyFont="1" applyFill="1" applyBorder="1" applyAlignment="1">
      <alignment horizontal="center" vertical="center" wrapText="1"/>
    </xf>
    <xf numFmtId="2" fontId="15" fillId="0" borderId="22" xfId="4" applyNumberFormat="1" applyFont="1" applyFill="1" applyBorder="1" applyAlignment="1">
      <alignment horizontal="left" vertical="center" wrapText="1"/>
    </xf>
    <xf numFmtId="2" fontId="11" fillId="0" borderId="12" xfId="4" applyNumberFormat="1" applyFont="1" applyFill="1" applyBorder="1" applyAlignment="1">
      <alignment horizontal="left" vertical="center" wrapText="1"/>
    </xf>
    <xf numFmtId="2" fontId="11" fillId="0" borderId="23" xfId="4" applyNumberFormat="1" applyFont="1" applyFill="1" applyBorder="1" applyAlignment="1">
      <alignment horizontal="left" vertical="center" wrapText="1"/>
    </xf>
    <xf numFmtId="49" fontId="11" fillId="0" borderId="8" xfId="4" quotePrefix="1" applyNumberFormat="1" applyFont="1" applyFill="1" applyBorder="1" applyAlignment="1">
      <alignment horizontal="center" vertical="center" wrapText="1"/>
    </xf>
    <xf numFmtId="0" fontId="11" fillId="6" borderId="10" xfId="4" applyFont="1" applyFill="1" applyBorder="1" applyAlignment="1">
      <alignment horizontal="center" vertical="center" wrapText="1"/>
    </xf>
    <xf numFmtId="0" fontId="11" fillId="6" borderId="16" xfId="4" applyFont="1" applyFill="1" applyBorder="1" applyAlignment="1">
      <alignment horizontal="center" vertical="center" wrapText="1"/>
    </xf>
    <xf numFmtId="0" fontId="11" fillId="3" borderId="10" xfId="4" applyFont="1" applyFill="1" applyBorder="1" applyAlignment="1">
      <alignment horizontal="center" vertical="center" wrapText="1"/>
    </xf>
    <xf numFmtId="0" fontId="11" fillId="3" borderId="16" xfId="4" applyFont="1" applyFill="1" applyBorder="1" applyAlignment="1">
      <alignment horizontal="center" vertical="center" wrapText="1"/>
    </xf>
    <xf numFmtId="2" fontId="11" fillId="0" borderId="22" xfId="4" applyNumberFormat="1" applyFont="1" applyFill="1" applyBorder="1" applyAlignment="1">
      <alignment horizontal="left" vertical="center" wrapText="1"/>
    </xf>
    <xf numFmtId="2" fontId="11" fillId="0" borderId="33" xfId="4" applyNumberFormat="1" applyFont="1" applyFill="1" applyBorder="1" applyAlignment="1">
      <alignment horizontal="left" vertical="center" wrapText="1"/>
    </xf>
    <xf numFmtId="2" fontId="11" fillId="0" borderId="19" xfId="4" applyNumberFormat="1" applyFont="1" applyFill="1" applyBorder="1" applyAlignment="1">
      <alignment horizontal="left" vertical="center" wrapText="1"/>
    </xf>
    <xf numFmtId="0" fontId="13" fillId="6" borderId="10" xfId="4" applyFont="1" applyFill="1" applyBorder="1" applyAlignment="1">
      <alignment horizontal="center" vertical="center" wrapText="1"/>
    </xf>
    <xf numFmtId="0" fontId="13" fillId="6" borderId="16" xfId="4" applyFont="1" applyFill="1" applyBorder="1" applyAlignment="1">
      <alignment horizontal="center" vertical="center" wrapText="1"/>
    </xf>
    <xf numFmtId="2" fontId="15" fillId="0" borderId="31" xfId="4" applyNumberFormat="1" applyFont="1" applyFill="1" applyBorder="1" applyAlignment="1">
      <alignment horizontal="left" vertical="center" wrapText="1"/>
    </xf>
    <xf numFmtId="2" fontId="11" fillId="0" borderId="34" xfId="4" applyNumberFormat="1" applyFont="1" applyFill="1" applyBorder="1" applyAlignment="1">
      <alignment horizontal="left" vertical="center" wrapText="1"/>
    </xf>
    <xf numFmtId="2" fontId="11" fillId="0" borderId="31" xfId="4" applyNumberFormat="1" applyFont="1" applyFill="1" applyBorder="1" applyAlignment="1">
      <alignment horizontal="left" vertical="center" wrapText="1"/>
    </xf>
    <xf numFmtId="0" fontId="4" fillId="0" borderId="18" xfId="4" applyFont="1" applyBorder="1" applyAlignment="1">
      <alignment horizontal="center" vertical="center" wrapText="1"/>
    </xf>
    <xf numFmtId="0" fontId="4" fillId="0" borderId="9" xfId="4" applyFont="1" applyBorder="1" applyAlignment="1">
      <alignment horizontal="center" vertical="center" wrapText="1"/>
    </xf>
    <xf numFmtId="0" fontId="4" fillId="0" borderId="50" xfId="4" applyFont="1" applyBorder="1" applyAlignment="1">
      <alignment horizontal="center" vertical="center" wrapText="1"/>
    </xf>
    <xf numFmtId="0" fontId="15" fillId="0" borderId="11" xfId="4" applyFont="1" applyBorder="1" applyAlignment="1">
      <alignment horizontal="left" vertical="center" wrapText="1"/>
    </xf>
    <xf numFmtId="0" fontId="15" fillId="0" borderId="12" xfId="4" applyFont="1" applyBorder="1" applyAlignment="1">
      <alignment horizontal="left" vertical="center" wrapText="1"/>
    </xf>
    <xf numFmtId="0" fontId="15" fillId="0" borderId="46" xfId="4" applyFont="1" applyBorder="1" applyAlignment="1">
      <alignment horizontal="left" vertical="center" wrapText="1"/>
    </xf>
    <xf numFmtId="0" fontId="11" fillId="0" borderId="11" xfId="4" applyFont="1" applyBorder="1" applyAlignment="1">
      <alignment horizontal="left" wrapText="1"/>
    </xf>
    <xf numFmtId="0" fontId="11" fillId="0" borderId="12" xfId="4" applyFont="1" applyBorder="1" applyAlignment="1">
      <alignment horizontal="left" wrapText="1"/>
    </xf>
    <xf numFmtId="0" fontId="11" fillId="0" borderId="46" xfId="4" applyFont="1" applyBorder="1" applyAlignment="1">
      <alignment horizontal="left" wrapText="1"/>
    </xf>
    <xf numFmtId="0" fontId="11" fillId="0" borderId="26" xfId="4" applyFont="1" applyBorder="1" applyAlignment="1">
      <alignment horizontal="left" wrapText="1"/>
    </xf>
    <xf numFmtId="0" fontId="11" fillId="0" borderId="25" xfId="4" applyFont="1" applyBorder="1" applyAlignment="1">
      <alignment horizontal="left" wrapText="1"/>
    </xf>
    <xf numFmtId="0" fontId="11" fillId="0" borderId="51" xfId="4" applyFont="1" applyBorder="1" applyAlignment="1">
      <alignment horizontal="left" wrapText="1"/>
    </xf>
    <xf numFmtId="0" fontId="4" fillId="4" borderId="7" xfId="4" applyFont="1" applyFill="1" applyBorder="1" applyAlignment="1">
      <alignment horizontal="center" vertical="center" wrapText="1"/>
    </xf>
    <xf numFmtId="0" fontId="4" fillId="4" borderId="5" xfId="4" applyFont="1" applyFill="1" applyBorder="1" applyAlignment="1">
      <alignment horizontal="center" vertical="center" wrapText="1"/>
    </xf>
    <xf numFmtId="0" fontId="4" fillId="4" borderId="47" xfId="4" applyFont="1" applyFill="1" applyBorder="1" applyAlignment="1">
      <alignment horizontal="center" vertical="center" wrapText="1"/>
    </xf>
    <xf numFmtId="0" fontId="11" fillId="0" borderId="24" xfId="4" applyFont="1" applyBorder="1" applyAlignment="1">
      <alignment horizontal="left" wrapText="1"/>
    </xf>
    <xf numFmtId="0" fontId="4" fillId="0" borderId="26" xfId="4" applyFont="1" applyBorder="1" applyAlignment="1">
      <alignment horizontal="left" wrapText="1"/>
    </xf>
    <xf numFmtId="0" fontId="4" fillId="0" borderId="25" xfId="4" applyFont="1" applyBorder="1" applyAlignment="1">
      <alignment horizontal="left" wrapText="1"/>
    </xf>
    <xf numFmtId="0" fontId="4" fillId="0" borderId="27" xfId="4" applyFont="1" applyBorder="1" applyAlignment="1">
      <alignment horizontal="left" wrapText="1"/>
    </xf>
    <xf numFmtId="0" fontId="4" fillId="0" borderId="39" xfId="4" applyFont="1" applyBorder="1" applyAlignment="1">
      <alignment horizontal="center" vertical="center" wrapText="1"/>
    </xf>
    <xf numFmtId="0" fontId="4" fillId="0" borderId="40" xfId="4" applyFont="1" applyBorder="1" applyAlignment="1">
      <alignment horizontal="center" vertical="center" wrapText="1"/>
    </xf>
    <xf numFmtId="0" fontId="11" fillId="0" borderId="22" xfId="4" applyFont="1" applyBorder="1" applyAlignment="1">
      <alignment horizontal="left" wrapText="1"/>
    </xf>
    <xf numFmtId="0" fontId="11" fillId="0" borderId="11" xfId="4" applyFont="1" applyBorder="1" applyAlignment="1">
      <alignment horizontal="left"/>
    </xf>
    <xf numFmtId="0" fontId="11" fillId="0" borderId="12" xfId="4" applyFont="1" applyBorder="1" applyAlignment="1">
      <alignment horizontal="left"/>
    </xf>
    <xf numFmtId="0" fontId="11" fillId="0" borderId="23" xfId="4" applyFont="1" applyBorder="1" applyAlignment="1">
      <alignment horizontal="left"/>
    </xf>
    <xf numFmtId="0" fontId="15" fillId="0" borderId="22" xfId="4" applyFont="1" applyBorder="1" applyAlignment="1">
      <alignment horizontal="left" vertical="center" wrapText="1"/>
    </xf>
    <xf numFmtId="0" fontId="15" fillId="0" borderId="23" xfId="4" applyFont="1" applyBorder="1" applyAlignment="1">
      <alignment horizontal="left" vertical="center" wrapText="1"/>
    </xf>
    <xf numFmtId="0" fontId="17" fillId="3" borderId="56" xfId="4" applyFont="1" applyFill="1" applyBorder="1" applyAlignment="1">
      <alignment horizontal="center" vertical="center" wrapText="1"/>
    </xf>
    <xf numFmtId="0" fontId="7" fillId="3" borderId="56" xfId="4" applyFont="1" applyFill="1" applyBorder="1" applyAlignment="1">
      <alignment horizontal="center" vertical="center" wrapText="1"/>
    </xf>
    <xf numFmtId="0" fontId="12" fillId="3" borderId="66" xfId="4" applyFont="1" applyFill="1" applyBorder="1" applyAlignment="1">
      <alignment horizontal="center" vertical="center" wrapText="1"/>
    </xf>
    <xf numFmtId="0" fontId="8" fillId="3" borderId="4" xfId="4" applyFont="1" applyFill="1" applyBorder="1" applyAlignment="1">
      <alignment horizontal="center" vertical="center" wrapText="1"/>
    </xf>
    <xf numFmtId="0" fontId="4" fillId="4" borderId="30" xfId="4" applyFont="1" applyFill="1" applyBorder="1" applyAlignment="1">
      <alignment horizontal="center" vertical="center" wrapText="1"/>
    </xf>
    <xf numFmtId="0" fontId="4" fillId="4" borderId="14" xfId="4" applyFont="1" applyFill="1" applyBorder="1" applyAlignment="1">
      <alignment horizontal="center" vertical="center" wrapText="1"/>
    </xf>
    <xf numFmtId="2" fontId="12" fillId="0" borderId="41" xfId="4" applyNumberFormat="1" applyFont="1" applyFill="1" applyBorder="1" applyAlignment="1">
      <alignment horizontal="left" vertical="center" wrapText="1"/>
    </xf>
    <xf numFmtId="2" fontId="12" fillId="0" borderId="20" xfId="4" applyNumberFormat="1" applyFont="1" applyFill="1" applyBorder="1" applyAlignment="1">
      <alignment horizontal="left" vertical="center" wrapText="1"/>
    </xf>
    <xf numFmtId="0" fontId="35" fillId="0" borderId="1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40" xfId="0" applyFont="1" applyBorder="1" applyAlignment="1">
      <alignment horizontal="center"/>
    </xf>
    <xf numFmtId="49" fontId="36" fillId="0" borderId="8" xfId="0" applyNumberFormat="1" applyFont="1" applyFill="1" applyBorder="1" applyAlignment="1">
      <alignment horizontal="center" vertical="center"/>
    </xf>
    <xf numFmtId="0" fontId="35" fillId="0" borderId="16" xfId="0" applyFont="1" applyBorder="1" applyAlignment="1">
      <alignment horizontal="center" vertical="top" wrapText="1"/>
    </xf>
    <xf numFmtId="0" fontId="35" fillId="0" borderId="16" xfId="0" applyFont="1" applyBorder="1" applyAlignment="1">
      <alignment horizontal="center" vertical="top"/>
    </xf>
    <xf numFmtId="0" fontId="37" fillId="0" borderId="10" xfId="0" applyFont="1" applyBorder="1" applyAlignment="1">
      <alignment horizontal="center"/>
    </xf>
    <xf numFmtId="0" fontId="37" fillId="0" borderId="17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7" fillId="0" borderId="75" xfId="0" applyFont="1" applyBorder="1" applyAlignment="1">
      <alignment horizontal="center"/>
    </xf>
    <xf numFmtId="0" fontId="42" fillId="0" borderId="18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37" fillId="0" borderId="10" xfId="0" applyFont="1" applyBorder="1" applyAlignment="1">
      <alignment horizontal="center" wrapText="1"/>
    </xf>
    <xf numFmtId="0" fontId="35" fillId="0" borderId="2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7" fillId="0" borderId="17" xfId="0" applyFont="1" applyBorder="1" applyAlignment="1">
      <alignment horizontal="center" wrapText="1"/>
    </xf>
    <xf numFmtId="49" fontId="35" fillId="0" borderId="23" xfId="0" applyNumberFormat="1" applyFont="1" applyBorder="1" applyAlignment="1">
      <alignment horizontal="center" vertical="center"/>
    </xf>
    <xf numFmtId="49" fontId="35" fillId="0" borderId="8" xfId="0" applyNumberFormat="1" applyFont="1" applyBorder="1" applyAlignment="1">
      <alignment horizontal="center" vertical="center"/>
    </xf>
    <xf numFmtId="0" fontId="39" fillId="0" borderId="12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14" fontId="38" fillId="0" borderId="8" xfId="0" applyNumberFormat="1" applyFont="1" applyFill="1" applyBorder="1" applyAlignment="1">
      <alignment horizontal="center" vertical="center"/>
    </xf>
    <xf numFmtId="0" fontId="38" fillId="0" borderId="8" xfId="0" applyFont="1" applyFill="1" applyBorder="1" applyAlignment="1">
      <alignment horizontal="center" vertical="center"/>
    </xf>
    <xf numFmtId="0" fontId="51" fillId="0" borderId="37" xfId="0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 wrapText="1"/>
    </xf>
    <xf numFmtId="0" fontId="51" fillId="0" borderId="98" xfId="0" applyFont="1" applyBorder="1" applyAlignment="1">
      <alignment horizontal="center" vertical="center" wrapText="1"/>
    </xf>
    <xf numFmtId="0" fontId="51" fillId="0" borderId="18" xfId="0" applyFont="1" applyBorder="1" applyAlignment="1">
      <alignment horizontal="center" vertical="center" wrapText="1"/>
    </xf>
    <xf numFmtId="0" fontId="51" fillId="0" borderId="9" xfId="0" applyFont="1" applyBorder="1" applyAlignment="1">
      <alignment horizontal="center" vertical="center" wrapText="1"/>
    </xf>
    <xf numFmtId="0" fontId="51" fillId="0" borderId="40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44" fillId="0" borderId="48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37" xfId="0" applyFont="1" applyBorder="1" applyAlignment="1">
      <alignment horizontal="center" vertical="center" wrapText="1"/>
    </xf>
    <xf numFmtId="0" fontId="44" fillId="0" borderId="0" xfId="0" applyFont="1" applyBorder="1" applyAlignment="1">
      <alignment horizontal="center" vertical="center" wrapText="1"/>
    </xf>
    <xf numFmtId="0" fontId="44" fillId="0" borderId="98" xfId="0" applyFont="1" applyBorder="1" applyAlignment="1">
      <alignment horizontal="center" vertical="center" wrapText="1"/>
    </xf>
    <xf numFmtId="0" fontId="47" fillId="0" borderId="37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center" vertical="center" wrapText="1"/>
    </xf>
    <xf numFmtId="0" fontId="47" fillId="0" borderId="98" xfId="0" applyFont="1" applyFill="1" applyBorder="1" applyAlignment="1">
      <alignment horizontal="center" vertical="center" wrapText="1"/>
    </xf>
    <xf numFmtId="0" fontId="44" fillId="0" borderId="37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4" fillId="0" borderId="98" xfId="0" applyFont="1" applyFill="1" applyBorder="1" applyAlignment="1">
      <alignment horizontal="center" vertical="center" wrapText="1"/>
    </xf>
    <xf numFmtId="0" fontId="44" fillId="0" borderId="18" xfId="0" applyFont="1" applyFill="1" applyBorder="1" applyAlignment="1">
      <alignment horizontal="center" vertical="center" wrapText="1"/>
    </xf>
    <xf numFmtId="0" fontId="44" fillId="0" borderId="9" xfId="0" applyFont="1" applyFill="1" applyBorder="1" applyAlignment="1">
      <alignment horizontal="center" vertical="center" wrapText="1"/>
    </xf>
    <xf numFmtId="0" fontId="44" fillId="0" borderId="40" xfId="0" applyFont="1" applyFill="1" applyBorder="1" applyAlignment="1">
      <alignment horizontal="center" vertical="center" wrapText="1"/>
    </xf>
    <xf numFmtId="0" fontId="36" fillId="0" borderId="17" xfId="0" applyFont="1" applyBorder="1" applyAlignment="1">
      <alignment horizontal="center" vertical="center" wrapText="1"/>
    </xf>
    <xf numFmtId="0" fontId="36" fillId="0" borderId="48" xfId="0" applyFont="1" applyBorder="1" applyAlignment="1">
      <alignment horizontal="center" vertical="center" wrapText="1"/>
    </xf>
    <xf numFmtId="0" fontId="36" fillId="0" borderId="75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 wrapText="1"/>
    </xf>
    <xf numFmtId="0" fontId="36" fillId="0" borderId="98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 wrapText="1"/>
    </xf>
    <xf numFmtId="0" fontId="48" fillId="0" borderId="17" xfId="0" applyFont="1" applyBorder="1" applyAlignment="1">
      <alignment horizontal="center" vertical="center" wrapText="1"/>
    </xf>
    <xf numFmtId="0" fontId="48" fillId="0" borderId="48" xfId="0" applyFont="1" applyBorder="1" applyAlignment="1">
      <alignment horizontal="center" vertical="center"/>
    </xf>
    <xf numFmtId="0" fontId="48" fillId="0" borderId="75" xfId="0" applyFont="1" applyBorder="1" applyAlignment="1">
      <alignment horizontal="center" vertical="center"/>
    </xf>
    <xf numFmtId="0" fontId="48" fillId="0" borderId="18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/>
    </xf>
    <xf numFmtId="0" fontId="43" fillId="0" borderId="17" xfId="0" applyFont="1" applyBorder="1" applyAlignment="1">
      <alignment horizontal="center" vertical="center"/>
    </xf>
    <xf numFmtId="0" fontId="50" fillId="0" borderId="17" xfId="0" applyFont="1" applyBorder="1" applyAlignment="1">
      <alignment horizontal="center" vertical="center" wrapText="1"/>
    </xf>
    <xf numFmtId="0" fontId="41" fillId="0" borderId="48" xfId="0" applyFont="1" applyBorder="1" applyAlignment="1">
      <alignment horizontal="center" vertical="center"/>
    </xf>
    <xf numFmtId="0" fontId="41" fillId="0" borderId="75" xfId="0" applyFont="1" applyBorder="1" applyAlignment="1">
      <alignment horizontal="center" vertical="center"/>
    </xf>
    <xf numFmtId="0" fontId="41" fillId="0" borderId="37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1" fillId="0" borderId="98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1" fillId="0" borderId="9" xfId="0" applyFont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0" fillId="0" borderId="48" xfId="0" applyFont="1" applyBorder="1" applyAlignment="1">
      <alignment horizontal="right" vertical="center"/>
    </xf>
    <xf numFmtId="0" fontId="40" fillId="0" borderId="75" xfId="0" applyFont="1" applyBorder="1" applyAlignment="1">
      <alignment horizontal="right" vertical="center"/>
    </xf>
    <xf numFmtId="0" fontId="40" fillId="0" borderId="9" xfId="0" applyFont="1" applyBorder="1" applyAlignment="1">
      <alignment horizontal="right" vertical="center"/>
    </xf>
    <xf numFmtId="0" fontId="40" fillId="0" borderId="40" xfId="0" applyFont="1" applyBorder="1" applyAlignment="1">
      <alignment horizontal="right" vertical="center"/>
    </xf>
    <xf numFmtId="0" fontId="40" fillId="0" borderId="17" xfId="0" applyFont="1" applyBorder="1" applyAlignment="1">
      <alignment horizontal="left" vertical="center" wrapText="1"/>
    </xf>
    <xf numFmtId="0" fontId="40" fillId="0" borderId="48" xfId="0" applyFont="1" applyBorder="1" applyAlignment="1">
      <alignment horizontal="left" vertical="center" wrapText="1"/>
    </xf>
    <xf numFmtId="0" fontId="40" fillId="0" borderId="18" xfId="0" applyFont="1" applyBorder="1" applyAlignment="1">
      <alignment horizontal="left" vertical="center" wrapText="1"/>
    </xf>
    <xf numFmtId="0" fontId="40" fillId="0" borderId="9" xfId="0" applyFont="1" applyBorder="1" applyAlignment="1">
      <alignment horizontal="left" vertical="center" wrapText="1"/>
    </xf>
    <xf numFmtId="0" fontId="56" fillId="7" borderId="0" xfId="11" applyFont="1" applyFill="1" applyAlignment="1">
      <alignment horizontal="center" vertical="center"/>
    </xf>
    <xf numFmtId="0" fontId="56" fillId="7" borderId="98" xfId="11" applyFont="1" applyFill="1" applyBorder="1" applyAlignment="1">
      <alignment horizontal="center" vertical="center"/>
    </xf>
    <xf numFmtId="0" fontId="55" fillId="7" borderId="0" xfId="11" applyFont="1" applyFill="1" applyAlignment="1">
      <alignment horizontal="center" vertical="center"/>
    </xf>
    <xf numFmtId="0" fontId="55" fillId="7" borderId="98" xfId="11" applyFont="1" applyFill="1" applyBorder="1" applyAlignment="1">
      <alignment horizontal="center" vertical="center"/>
    </xf>
    <xf numFmtId="2" fontId="56" fillId="7" borderId="0" xfId="11" applyNumberFormat="1" applyFont="1" applyFill="1" applyAlignment="1">
      <alignment horizontal="center" vertical="center" wrapText="1"/>
    </xf>
    <xf numFmtId="2" fontId="55" fillId="7" borderId="0" xfId="11" applyNumberFormat="1" applyFont="1" applyFill="1" applyAlignment="1">
      <alignment horizontal="center" vertical="center" wrapText="1"/>
    </xf>
    <xf numFmtId="2" fontId="55" fillId="7" borderId="98" xfId="11" applyNumberFormat="1" applyFont="1" applyFill="1" applyBorder="1" applyAlignment="1">
      <alignment horizontal="center" vertical="center" wrapText="1"/>
    </xf>
    <xf numFmtId="2" fontId="55" fillId="7" borderId="0" xfId="11" applyNumberFormat="1" applyFont="1" applyFill="1" applyAlignment="1">
      <alignment horizontal="center" vertical="center"/>
    </xf>
    <xf numFmtId="2" fontId="55" fillId="7" borderId="98" xfId="11" applyNumberFormat="1" applyFont="1" applyFill="1" applyBorder="1" applyAlignment="1">
      <alignment horizontal="center" vertical="center"/>
    </xf>
    <xf numFmtId="0" fontId="52" fillId="7" borderId="0" xfId="11" applyFont="1" applyFill="1" applyAlignment="1">
      <alignment horizontal="center"/>
    </xf>
    <xf numFmtId="0" fontId="52" fillId="7" borderId="98" xfId="11" applyFont="1" applyFill="1" applyBorder="1" applyAlignment="1">
      <alignment horizontal="center"/>
    </xf>
  </cellXfs>
  <cellStyles count="12">
    <cellStyle name="2" xfId="1" xr:uid="{00000000-0005-0000-0000-000000000000}"/>
    <cellStyle name="3" xfId="2" xr:uid="{00000000-0005-0000-0000-000001000000}"/>
    <cellStyle name="Comma" xfId="8" builtinId="3"/>
    <cellStyle name="Currency" xfId="9" builtinId="4"/>
    <cellStyle name="Euro" xfId="3" xr:uid="{00000000-0005-0000-0000-000004000000}"/>
    <cellStyle name="Normal" xfId="0" builtinId="0"/>
    <cellStyle name="Normal 174" xfId="11" xr:uid="{C947837A-5AB6-4F93-B7EB-37390B51AB40}"/>
    <cellStyle name="Normal 2" xfId="4" xr:uid="{00000000-0005-0000-0000-000006000000}"/>
    <cellStyle name="Normal 2 2" xfId="10" xr:uid="{00000000-0005-0000-0000-000007000000}"/>
    <cellStyle name="Normal 4" xfId="5" xr:uid="{00000000-0005-0000-0000-000008000000}"/>
    <cellStyle name="Retrait" xfId="6" xr:uid="{00000000-0005-0000-0000-000009000000}"/>
    <cellStyle name="Titre pôle" xfId="7" xr:uid="{00000000-0005-0000-0000-00000A000000}"/>
  </cellStyles>
  <dxfs count="0"/>
  <tableStyles count="0" defaultTableStyle="TableStyleMedium9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D:\BYTK_Facturation\Inwentar\applicationFiles\cra.jpg" TargetMode="External"/><Relationship Id="rId2" Type="http://schemas.openxmlformats.org/officeDocument/2006/relationships/image" Target="../media/image4.jpe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1</xdr:col>
          <xdr:colOff>485775</xdr:colOff>
          <xdr:row>0</xdr:row>
          <xdr:rowOff>809625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</a:t>
              </a:r>
            </a:p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  <a:endParaRPr lang="en-US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M)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0</xdr:row>
      <xdr:rowOff>251732</xdr:rowOff>
    </xdr:from>
    <xdr:to>
      <xdr:col>1</xdr:col>
      <xdr:colOff>231321</xdr:colOff>
      <xdr:row>2</xdr:row>
      <xdr:rowOff>544286</xdr:rowOff>
    </xdr:to>
    <xdr:pic>
      <xdr:nvPicPr>
        <xdr:cNvPr id="2" name="Picture 1" descr="ByBat International_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1" y="251732"/>
          <a:ext cx="2285999" cy="14627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304511</xdr:colOff>
      <xdr:row>2</xdr:row>
      <xdr:rowOff>86590</xdr:rowOff>
    </xdr:from>
    <xdr:to>
      <xdr:col>1</xdr:col>
      <xdr:colOff>1627909</xdr:colOff>
      <xdr:row>4</xdr:row>
      <xdr:rowOff>588426</xdr:rowOff>
    </xdr:to>
    <xdr:pic>
      <xdr:nvPicPr>
        <xdr:cNvPr id="1313" name="Picture 1312" descr="ByBat International_4">
          <a:extLst>
            <a:ext uri="{FF2B5EF4-FFF2-40B4-BE49-F238E27FC236}">
              <a16:creationId xmlns:a16="http://schemas.microsoft.com/office/drawing/2014/main" id="{00000000-0008-0000-03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04511" y="502226"/>
          <a:ext cx="3037898" cy="19219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22413</xdr:colOff>
      <xdr:row>12</xdr:row>
      <xdr:rowOff>130342</xdr:rowOff>
    </xdr:from>
    <xdr:to>
      <xdr:col>14</xdr:col>
      <xdr:colOff>260685</xdr:colOff>
      <xdr:row>30</xdr:row>
      <xdr:rowOff>11206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5595" y="3247615"/>
          <a:ext cx="4966135" cy="5162909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17</xdr:col>
      <xdr:colOff>40820</xdr:colOff>
      <xdr:row>21</xdr:row>
      <xdr:rowOff>112998</xdr:rowOff>
    </xdr:from>
    <xdr:ext cx="1360819" cy="740226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5920" y="4875498"/>
          <a:ext cx="1360819" cy="74022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1</xdr:row>
      <xdr:rowOff>57150</xdr:rowOff>
    </xdr:from>
    <xdr:to>
      <xdr:col>1</xdr:col>
      <xdr:colOff>1676400</xdr:colOff>
      <xdr:row>4</xdr:row>
      <xdr:rowOff>200025</xdr:rowOff>
    </xdr:to>
    <xdr:sp macro="" textlink="">
      <xdr:nvSpPr>
        <xdr:cNvPr id="10241" name="Object 1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6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276225</xdr:colOff>
      <xdr:row>1</xdr:row>
      <xdr:rowOff>57150</xdr:rowOff>
    </xdr:from>
    <xdr:to>
      <xdr:col>1</xdr:col>
      <xdr:colOff>1676400</xdr:colOff>
      <xdr:row>4</xdr:row>
      <xdr:rowOff>200025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257175"/>
          <a:ext cx="1400175" cy="819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16</xdr:row>
      <xdr:rowOff>73932</xdr:rowOff>
    </xdr:from>
    <xdr:to>
      <xdr:col>3</xdr:col>
      <xdr:colOff>2364014</xdr:colOff>
      <xdr:row>36</xdr:row>
      <xdr:rowOff>55789</xdr:rowOff>
    </xdr:to>
    <xdr:pic>
      <xdr:nvPicPr>
        <xdr:cNvPr id="5" name="imagesToDeleteAfter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5870575"/>
          <a:ext cx="6667500" cy="406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.chariyev\Desktop\CCI%20anexe5%20razbivka\TKM%207152%20CCI%20-%20Annexe%205%20-%20PCU%20rev.3%20bi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.mamedova\AppData\Local\Microsoft\Windows\Temporary%20Internet%20Files\Content.Outlook\9FU2PGH9\Annexes%205%20-%2029%2005%202015\Version%20110%20millions\UNI6%20-%20Annexe%205%20-%202015%2005%2029%20-%20version%20110%20mill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RI-TO/1.%20BOQ/2.%20SITUATION/CRA_ST1/TKM7154-CRA_ANNEXE%205_REV%2007%20TM%20pour%20Enregistrement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lim et recap"/>
      <sheetName val="Recap bâtiment"/>
      <sheetName val="DQE"/>
      <sheetName val="Goss et Sismo"/>
      <sheetName val="Coefficients"/>
      <sheetName val="Prix Noury"/>
      <sheetName val="Prix figés"/>
      <sheetName val="FR Marbre-Gra"/>
      <sheetName val="FR PU beton Maconn"/>
      <sheetName val="Detail prelim"/>
      <sheetName val="VRD Coef V"/>
      <sheetName val="CC Coef V"/>
      <sheetName val="CEA Coef V"/>
      <sheetName val="CET"/>
    </sheetNames>
    <sheetDataSet>
      <sheetData sheetId="0">
        <row r="11">
          <cell r="B11" t="str">
            <v>CENTRE DE CONFERENCES INTERNATIONALES DU TURKMENISTAN</v>
          </cell>
        </row>
      </sheetData>
      <sheetData sheetId="1"/>
      <sheetData sheetId="2">
        <row r="1">
          <cell r="AT1">
            <v>1.1878299999999999</v>
          </cell>
        </row>
      </sheetData>
      <sheetData sheetId="3"/>
      <sheetData sheetId="4">
        <row r="4">
          <cell r="H4">
            <v>1</v>
          </cell>
        </row>
      </sheetData>
      <sheetData sheetId="5">
        <row r="45">
          <cell r="H45">
            <v>2.9375999999999998</v>
          </cell>
        </row>
      </sheetData>
      <sheetData sheetId="6">
        <row r="11">
          <cell r="F11">
            <v>0.6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lim et recap"/>
      <sheetName val="Recap bâtiment"/>
      <sheetName val="DQE"/>
      <sheetName val="Coefficients"/>
      <sheetName val="VRD Coef V"/>
      <sheetName val="CC Coef V"/>
      <sheetName val="CEA Coef V"/>
      <sheetName val="CET"/>
      <sheetName val="Goss et Sismo"/>
      <sheetName val="Comp chantiers"/>
      <sheetName val="UN6 vs UNI"/>
      <sheetName val="Traduction"/>
      <sheetName val="Prix figés IRI"/>
      <sheetName val="Comparatif"/>
      <sheetName val="Detail prelim"/>
    </sheetNames>
    <sheetDataSet>
      <sheetData sheetId="0"/>
      <sheetData sheetId="1"/>
      <sheetData sheetId="2"/>
      <sheetData sheetId="3">
        <row r="3">
          <cell r="L3">
            <v>0.61684609478378771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lim et recap"/>
      <sheetName val="Recap bâtiment"/>
      <sheetName val="DQE"/>
    </sheetNames>
    <sheetDataSet>
      <sheetData sheetId="0"/>
      <sheetData sheetId="1">
        <row r="83">
          <cell r="M83">
            <v>112183448.21999998</v>
          </cell>
        </row>
        <row r="102">
          <cell r="M102">
            <v>6480802.8799999999</v>
          </cell>
        </row>
        <row r="105">
          <cell r="M105">
            <v>118664251.10000001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  <pageSetUpPr fitToPage="1"/>
  </sheetPr>
  <dimension ref="A1:AD28"/>
  <sheetViews>
    <sheetView tabSelected="1"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4" sqref="E14"/>
    </sheetView>
  </sheetViews>
  <sheetFormatPr defaultRowHeight="21" x14ac:dyDescent="0.25"/>
  <cols>
    <col min="1" max="1" width="17" style="71" customWidth="1"/>
    <col min="2" max="2" width="9.42578125" style="71" customWidth="1"/>
    <col min="3" max="3" width="8.5703125" style="71" customWidth="1"/>
    <col min="4" max="4" width="30" style="72" customWidth="1"/>
    <col min="5" max="5" width="34.42578125" style="73" customWidth="1"/>
    <col min="6" max="6" width="54" style="73" customWidth="1"/>
    <col min="7" max="7" width="62.42578125" style="74" customWidth="1"/>
    <col min="8" max="8" width="59.5703125" style="74" customWidth="1"/>
    <col min="9" max="9" width="25.42578125" style="71" customWidth="1"/>
    <col min="10" max="10" width="31.42578125" style="71" customWidth="1"/>
    <col min="11" max="11" width="15" style="71" customWidth="1"/>
    <col min="12" max="12" width="11.28515625" style="71" customWidth="1"/>
    <col min="13" max="13" width="10.85546875" style="71" customWidth="1"/>
    <col min="14" max="14" width="17.85546875" style="75" customWidth="1"/>
    <col min="15" max="15" width="14" style="75" customWidth="1"/>
    <col min="16" max="16" width="17.28515625" style="98" customWidth="1"/>
    <col min="17" max="17" width="37.42578125" style="71" customWidth="1"/>
    <col min="18" max="18" width="23" style="71" customWidth="1"/>
    <col min="19" max="19" width="19.7109375" style="72" customWidth="1"/>
    <col min="20" max="20" width="22.7109375" style="98" customWidth="1"/>
    <col min="21" max="22" width="17.5703125" style="98" customWidth="1"/>
    <col min="23" max="16384" width="9.140625" style="71"/>
  </cols>
  <sheetData>
    <row r="1" spans="1:30" s="70" customFormat="1" ht="108" customHeight="1" thickTop="1" thickBot="1" x14ac:dyDescent="0.3">
      <c r="A1" s="65" t="s">
        <v>3</v>
      </c>
      <c r="B1" s="65" t="s">
        <v>60</v>
      </c>
      <c r="C1" s="65" t="s">
        <v>61</v>
      </c>
      <c r="D1" s="65" t="s">
        <v>62</v>
      </c>
      <c r="E1" s="65" t="s">
        <v>63</v>
      </c>
      <c r="F1" s="65" t="s">
        <v>64</v>
      </c>
      <c r="G1" s="66" t="s">
        <v>65</v>
      </c>
      <c r="H1" s="66" t="s">
        <v>66</v>
      </c>
      <c r="I1" s="65" t="s">
        <v>67</v>
      </c>
      <c r="J1" s="66" t="s">
        <v>68</v>
      </c>
      <c r="K1" s="66" t="s">
        <v>69</v>
      </c>
      <c r="L1" s="66" t="s">
        <v>71</v>
      </c>
      <c r="M1" s="66" t="s">
        <v>70</v>
      </c>
      <c r="N1" s="67" t="s">
        <v>72</v>
      </c>
      <c r="O1" s="67" t="s">
        <v>73</v>
      </c>
      <c r="P1" s="66" t="s">
        <v>74</v>
      </c>
      <c r="Q1" s="66" t="s">
        <v>4</v>
      </c>
      <c r="R1" s="66" t="s">
        <v>5</v>
      </c>
      <c r="S1" s="68" t="s">
        <v>31</v>
      </c>
      <c r="T1" s="68" t="s">
        <v>57</v>
      </c>
      <c r="U1" s="68" t="s">
        <v>58</v>
      </c>
      <c r="V1" s="68" t="s">
        <v>59</v>
      </c>
      <c r="W1" s="69"/>
      <c r="X1" s="69"/>
      <c r="Y1" s="69"/>
      <c r="Z1" s="69"/>
      <c r="AA1" s="69"/>
      <c r="AB1" s="69"/>
      <c r="AC1" s="69"/>
      <c r="AD1" s="69"/>
    </row>
    <row r="2" spans="1:30" s="175" customFormat="1" ht="21.75" thickTop="1" x14ac:dyDescent="0.25">
      <c r="A2" s="171" t="s">
        <v>7</v>
      </c>
      <c r="B2" s="171">
        <v>-1</v>
      </c>
      <c r="C2" s="172" t="s">
        <v>24</v>
      </c>
      <c r="D2" s="121" t="s">
        <v>30</v>
      </c>
      <c r="E2" s="173" t="str">
        <f>IFERROR(VLOOKUP(D2,AllZones!B:G,5,0),"-")</f>
        <v>Room name in French</v>
      </c>
      <c r="F2" s="173" t="str">
        <f>IFERROR(VLOOKUP(D2,AllZones!B:G,6,0),"-")</f>
        <v>Room name in Russian</v>
      </c>
      <c r="G2" s="173" t="s">
        <v>279</v>
      </c>
      <c r="H2" s="173" t="s">
        <v>280</v>
      </c>
      <c r="I2" s="172" t="s">
        <v>229</v>
      </c>
      <c r="J2" s="172" t="s">
        <v>254</v>
      </c>
      <c r="K2" s="172">
        <v>1</v>
      </c>
      <c r="L2" s="172" t="s">
        <v>158</v>
      </c>
      <c r="M2" s="172" t="s">
        <v>159</v>
      </c>
      <c r="N2" s="174">
        <v>942</v>
      </c>
      <c r="O2" s="174">
        <f t="shared" ref="O2:O8" si="0">ROUND(N2*K2,2)</f>
        <v>942</v>
      </c>
      <c r="P2" s="180" t="s">
        <v>160</v>
      </c>
      <c r="Q2" s="172"/>
      <c r="R2" s="172"/>
      <c r="S2" s="121"/>
      <c r="T2" s="97"/>
      <c r="U2" s="97"/>
      <c r="V2" s="97"/>
    </row>
    <row r="3" spans="1:30" s="175" customFormat="1" x14ac:dyDescent="0.25">
      <c r="A3" s="171" t="s">
        <v>7</v>
      </c>
      <c r="B3" s="171">
        <v>-1</v>
      </c>
      <c r="C3" s="172" t="s">
        <v>24</v>
      </c>
      <c r="D3" s="121" t="s">
        <v>30</v>
      </c>
      <c r="E3" s="173" t="str">
        <f>IFERROR(VLOOKUP(D3,AllZones!B:G,5,0),"-")</f>
        <v>Room name in French</v>
      </c>
      <c r="F3" s="173" t="str">
        <f>IFERROR(VLOOKUP(D3,AllZones!B:G,6,0),"-")</f>
        <v>Room name in Russian</v>
      </c>
      <c r="G3" s="173" t="s">
        <v>281</v>
      </c>
      <c r="H3" s="173" t="s">
        <v>282</v>
      </c>
      <c r="I3" s="172" t="s">
        <v>230</v>
      </c>
      <c r="J3" s="172" t="s">
        <v>255</v>
      </c>
      <c r="K3" s="172">
        <v>2</v>
      </c>
      <c r="L3" s="172" t="s">
        <v>158</v>
      </c>
      <c r="M3" s="172" t="s">
        <v>159</v>
      </c>
      <c r="N3" s="174">
        <v>541</v>
      </c>
      <c r="O3" s="174">
        <f t="shared" ref="O3:O4" si="1">ROUND(N3*K3,2)</f>
        <v>1082</v>
      </c>
      <c r="P3" s="180" t="s">
        <v>329</v>
      </c>
      <c r="Q3" s="172"/>
      <c r="R3" s="172"/>
      <c r="S3" s="121"/>
      <c r="T3" s="97"/>
      <c r="U3" s="97"/>
      <c r="V3" s="97"/>
    </row>
    <row r="4" spans="1:30" s="175" customFormat="1" x14ac:dyDescent="0.25">
      <c r="A4" s="171" t="s">
        <v>7</v>
      </c>
      <c r="B4" s="171">
        <v>-1</v>
      </c>
      <c r="C4" s="172" t="s">
        <v>24</v>
      </c>
      <c r="D4" s="121" t="s">
        <v>30</v>
      </c>
      <c r="E4" s="173" t="str">
        <f>IFERROR(VLOOKUP(D4,AllZones!B:G,5,0),"-")</f>
        <v>Room name in French</v>
      </c>
      <c r="F4" s="173" t="str">
        <f>IFERROR(VLOOKUP(D4,AllZones!B:G,6,0),"-")</f>
        <v>Room name in Russian</v>
      </c>
      <c r="G4" s="173" t="s">
        <v>283</v>
      </c>
      <c r="H4" s="173" t="s">
        <v>284</v>
      </c>
      <c r="I4" s="172" t="s">
        <v>231</v>
      </c>
      <c r="J4" s="172" t="s">
        <v>256</v>
      </c>
      <c r="K4" s="172">
        <v>3</v>
      </c>
      <c r="L4" s="172" t="s">
        <v>158</v>
      </c>
      <c r="M4" s="172" t="s">
        <v>159</v>
      </c>
      <c r="N4" s="174">
        <v>992</v>
      </c>
      <c r="O4" s="174">
        <f t="shared" si="1"/>
        <v>2976</v>
      </c>
      <c r="P4" s="180" t="s">
        <v>330</v>
      </c>
      <c r="Q4" s="172"/>
      <c r="R4" s="172"/>
      <c r="S4" s="121"/>
      <c r="T4" s="97"/>
      <c r="U4" s="97"/>
      <c r="V4" s="97"/>
    </row>
    <row r="5" spans="1:30" s="175" customFormat="1" x14ac:dyDescent="0.25">
      <c r="A5" s="171" t="s">
        <v>7</v>
      </c>
      <c r="B5" s="171">
        <v>-1</v>
      </c>
      <c r="C5" s="172" t="s">
        <v>24</v>
      </c>
      <c r="D5" s="121" t="s">
        <v>30</v>
      </c>
      <c r="E5" s="173" t="str">
        <f>IFERROR(VLOOKUP(D5,AllZones!B:G,5,0),"-")</f>
        <v>Room name in French</v>
      </c>
      <c r="F5" s="173" t="str">
        <f>IFERROR(VLOOKUP(D5,AllZones!B:G,6,0),"-")</f>
        <v>Room name in Russian</v>
      </c>
      <c r="G5" s="173" t="s">
        <v>285</v>
      </c>
      <c r="H5" s="173" t="s">
        <v>286</v>
      </c>
      <c r="I5" s="172" t="s">
        <v>232</v>
      </c>
      <c r="J5" s="172" t="s">
        <v>257</v>
      </c>
      <c r="K5" s="172">
        <v>4</v>
      </c>
      <c r="L5" s="172" t="s">
        <v>158</v>
      </c>
      <c r="M5" s="172" t="s">
        <v>159</v>
      </c>
      <c r="N5" s="174">
        <v>475</v>
      </c>
      <c r="O5" s="174">
        <f>ROUND(N5*K5,2)</f>
        <v>1900</v>
      </c>
      <c r="P5" s="180" t="s">
        <v>331</v>
      </c>
      <c r="Q5" s="172"/>
      <c r="R5" s="172"/>
      <c r="S5" s="121"/>
      <c r="T5" s="97"/>
      <c r="U5" s="97"/>
      <c r="V5" s="97"/>
    </row>
    <row r="6" spans="1:30" s="175" customFormat="1" x14ac:dyDescent="0.25">
      <c r="A6" s="171" t="s">
        <v>7</v>
      </c>
      <c r="B6" s="171">
        <v>-1</v>
      </c>
      <c r="C6" s="172" t="s">
        <v>24</v>
      </c>
      <c r="D6" s="121" t="s">
        <v>30</v>
      </c>
      <c r="E6" s="173" t="str">
        <f>IFERROR(VLOOKUP(D6,AllZones!B:G,5,0),"-")</f>
        <v>Room name in French</v>
      </c>
      <c r="F6" s="173" t="str">
        <f>IFERROR(VLOOKUP(D6,AllZones!B:G,6,0),"-")</f>
        <v>Room name in Russian</v>
      </c>
      <c r="G6" s="173" t="s">
        <v>287</v>
      </c>
      <c r="H6" s="173" t="s">
        <v>288</v>
      </c>
      <c r="I6" s="172" t="s">
        <v>233</v>
      </c>
      <c r="J6" s="172" t="s">
        <v>258</v>
      </c>
      <c r="K6" s="172">
        <v>5</v>
      </c>
      <c r="L6" s="172" t="s">
        <v>158</v>
      </c>
      <c r="M6" s="172" t="s">
        <v>159</v>
      </c>
      <c r="N6" s="174">
        <v>866</v>
      </c>
      <c r="O6" s="174">
        <f t="shared" ref="O6" si="2">ROUND(N6*K6,2)</f>
        <v>4330</v>
      </c>
      <c r="P6" s="180" t="s">
        <v>332</v>
      </c>
      <c r="Q6" s="172"/>
      <c r="R6" s="172"/>
      <c r="S6" s="121"/>
      <c r="T6" s="97"/>
      <c r="U6" s="97"/>
      <c r="V6" s="97"/>
    </row>
    <row r="7" spans="1:30" s="175" customFormat="1" x14ac:dyDescent="0.25">
      <c r="A7" s="171" t="s">
        <v>7</v>
      </c>
      <c r="B7" s="171" t="s">
        <v>77</v>
      </c>
      <c r="C7" s="172" t="s">
        <v>27</v>
      </c>
      <c r="D7" s="121" t="s">
        <v>28</v>
      </c>
      <c r="E7" s="173" t="str">
        <f>IFERROR(VLOOKUP(D7,AllZones!B:G,5,0),"-")</f>
        <v>Room name in French</v>
      </c>
      <c r="F7" s="173" t="str">
        <f>IFERROR(VLOOKUP(D7,AllZones!B:G,6,0),"-")</f>
        <v>Room name in Russian</v>
      </c>
      <c r="G7" s="173" t="s">
        <v>289</v>
      </c>
      <c r="H7" s="173" t="s">
        <v>290</v>
      </c>
      <c r="I7" s="172" t="s">
        <v>234</v>
      </c>
      <c r="J7" s="172" t="s">
        <v>259</v>
      </c>
      <c r="K7" s="172">
        <v>6</v>
      </c>
      <c r="L7" s="172" t="s">
        <v>158</v>
      </c>
      <c r="M7" s="172" t="s">
        <v>159</v>
      </c>
      <c r="N7" s="174">
        <v>890</v>
      </c>
      <c r="O7" s="174">
        <f t="shared" si="0"/>
        <v>5340</v>
      </c>
      <c r="P7" s="180" t="s">
        <v>333</v>
      </c>
      <c r="Q7" s="172"/>
      <c r="R7" s="172"/>
      <c r="S7" s="121"/>
      <c r="T7" s="97"/>
      <c r="U7" s="97"/>
      <c r="V7" s="97"/>
    </row>
    <row r="8" spans="1:30" s="175" customFormat="1" x14ac:dyDescent="0.25">
      <c r="A8" s="171" t="s">
        <v>7</v>
      </c>
      <c r="B8" s="171" t="s">
        <v>77</v>
      </c>
      <c r="C8" s="172" t="s">
        <v>27</v>
      </c>
      <c r="D8" s="121" t="s">
        <v>28</v>
      </c>
      <c r="E8" s="173" t="str">
        <f>IFERROR(VLOOKUP(D8,AllZones!B:G,5,0),"-")</f>
        <v>Room name in French</v>
      </c>
      <c r="F8" s="173" t="str">
        <f>IFERROR(VLOOKUP(D8,AllZones!B:G,6,0),"-")</f>
        <v>Room name in Russian</v>
      </c>
      <c r="G8" s="173" t="s">
        <v>291</v>
      </c>
      <c r="H8" s="173" t="s">
        <v>292</v>
      </c>
      <c r="I8" s="172" t="s">
        <v>235</v>
      </c>
      <c r="J8" s="172" t="s">
        <v>260</v>
      </c>
      <c r="K8" s="172">
        <v>7</v>
      </c>
      <c r="L8" s="172" t="s">
        <v>158</v>
      </c>
      <c r="M8" s="172" t="s">
        <v>159</v>
      </c>
      <c r="N8" s="174">
        <v>190</v>
      </c>
      <c r="O8" s="174">
        <f t="shared" si="0"/>
        <v>1330</v>
      </c>
      <c r="P8" s="180" t="s">
        <v>334</v>
      </c>
      <c r="Q8" s="172"/>
      <c r="R8" s="172"/>
      <c r="S8" s="121"/>
      <c r="T8" s="97"/>
      <c r="U8" s="97"/>
      <c r="V8" s="97"/>
    </row>
    <row r="9" spans="1:30" s="175" customFormat="1" x14ac:dyDescent="0.25">
      <c r="A9" s="171" t="s">
        <v>7</v>
      </c>
      <c r="B9" s="171" t="s">
        <v>77</v>
      </c>
      <c r="C9" s="172" t="s">
        <v>27</v>
      </c>
      <c r="D9" s="121" t="s">
        <v>28</v>
      </c>
      <c r="E9" s="173" t="str">
        <f>IFERROR(VLOOKUP(D9,AllZones!B:G,5,0),"-")</f>
        <v>Room name in French</v>
      </c>
      <c r="F9" s="173" t="str">
        <f>IFERROR(VLOOKUP(D9,AllZones!B:G,6,0),"-")</f>
        <v>Room name in Russian</v>
      </c>
      <c r="G9" s="173" t="s">
        <v>293</v>
      </c>
      <c r="H9" s="173" t="s">
        <v>294</v>
      </c>
      <c r="I9" s="172" t="s">
        <v>236</v>
      </c>
      <c r="J9" s="172" t="s">
        <v>261</v>
      </c>
      <c r="K9" s="172">
        <v>8</v>
      </c>
      <c r="L9" s="172" t="s">
        <v>158</v>
      </c>
      <c r="M9" s="172" t="s">
        <v>159</v>
      </c>
      <c r="N9" s="174">
        <v>150</v>
      </c>
      <c r="O9" s="174">
        <f>ROUND(N9*K9,2)</f>
        <v>1200</v>
      </c>
      <c r="P9" s="180" t="s">
        <v>335</v>
      </c>
      <c r="Q9" s="172"/>
      <c r="R9" s="172"/>
      <c r="S9" s="121"/>
      <c r="T9" s="97"/>
      <c r="U9" s="97"/>
      <c r="V9" s="97"/>
    </row>
    <row r="10" spans="1:30" s="175" customFormat="1" x14ac:dyDescent="0.25">
      <c r="A10" s="171" t="s">
        <v>7</v>
      </c>
      <c r="B10" s="171" t="s">
        <v>77</v>
      </c>
      <c r="C10" s="172" t="s">
        <v>27</v>
      </c>
      <c r="D10" s="121" t="s">
        <v>28</v>
      </c>
      <c r="E10" s="173" t="str">
        <f>IFERROR(VLOOKUP(D10,AllZones!B:G,5,0),"-")</f>
        <v>Room name in French</v>
      </c>
      <c r="F10" s="173" t="str">
        <f>IFERROR(VLOOKUP(D10,AllZones!B:G,6,0),"-")</f>
        <v>Room name in Russian</v>
      </c>
      <c r="G10" s="173" t="s">
        <v>295</v>
      </c>
      <c r="H10" s="173" t="s">
        <v>296</v>
      </c>
      <c r="I10" s="172" t="s">
        <v>237</v>
      </c>
      <c r="J10" s="172" t="s">
        <v>262</v>
      </c>
      <c r="K10" s="172">
        <v>9</v>
      </c>
      <c r="L10" s="172" t="s">
        <v>158</v>
      </c>
      <c r="M10" s="172" t="s">
        <v>159</v>
      </c>
      <c r="N10" s="174">
        <v>448</v>
      </c>
      <c r="O10" s="174">
        <f t="shared" ref="O10:O13" si="3">ROUND(N10*K10,2)</f>
        <v>4032</v>
      </c>
      <c r="P10" s="180" t="s">
        <v>336</v>
      </c>
      <c r="Q10" s="172"/>
      <c r="R10" s="172"/>
      <c r="S10" s="121"/>
      <c r="T10" s="97"/>
      <c r="U10" s="97"/>
      <c r="V10" s="97"/>
    </row>
    <row r="11" spans="1:30" s="175" customFormat="1" x14ac:dyDescent="0.25">
      <c r="A11" s="171" t="s">
        <v>7</v>
      </c>
      <c r="B11" s="171" t="s">
        <v>77</v>
      </c>
      <c r="C11" s="172" t="s">
        <v>27</v>
      </c>
      <c r="D11" s="121" t="s">
        <v>28</v>
      </c>
      <c r="E11" s="173" t="str">
        <f>IFERROR(VLOOKUP(D11,AllZones!B:G,5,0),"-")</f>
        <v>Room name in French</v>
      </c>
      <c r="F11" s="173" t="str">
        <f>IFERROR(VLOOKUP(D11,AllZones!B:G,6,0),"-")</f>
        <v>Room name in Russian</v>
      </c>
      <c r="G11" s="173" t="s">
        <v>297</v>
      </c>
      <c r="H11" s="173" t="s">
        <v>298</v>
      </c>
      <c r="I11" s="172" t="s">
        <v>238</v>
      </c>
      <c r="J11" s="172" t="s">
        <v>263</v>
      </c>
      <c r="K11" s="172">
        <v>10</v>
      </c>
      <c r="L11" s="172" t="s">
        <v>158</v>
      </c>
      <c r="M11" s="172" t="s">
        <v>159</v>
      </c>
      <c r="N11" s="174">
        <v>722</v>
      </c>
      <c r="O11" s="174">
        <f t="shared" si="3"/>
        <v>7220</v>
      </c>
      <c r="P11" s="180" t="s">
        <v>337</v>
      </c>
      <c r="Q11" s="172"/>
      <c r="R11" s="172"/>
      <c r="S11" s="121"/>
      <c r="T11" s="97"/>
      <c r="U11" s="97"/>
      <c r="V11" s="97"/>
    </row>
    <row r="12" spans="1:30" s="175" customFormat="1" x14ac:dyDescent="0.25">
      <c r="A12" s="171" t="s">
        <v>7</v>
      </c>
      <c r="B12" s="171" t="s">
        <v>77</v>
      </c>
      <c r="C12" s="172" t="s">
        <v>27</v>
      </c>
      <c r="D12" s="121" t="s">
        <v>28</v>
      </c>
      <c r="E12" s="173" t="str">
        <f>IFERROR(VLOOKUP(D12,AllZones!B:G,5,0),"-")</f>
        <v>Room name in French</v>
      </c>
      <c r="F12" s="173" t="str">
        <f>IFERROR(VLOOKUP(D12,AllZones!B:G,6,0),"-")</f>
        <v>Room name in Russian</v>
      </c>
      <c r="G12" s="173" t="s">
        <v>299</v>
      </c>
      <c r="H12" s="173" t="s">
        <v>300</v>
      </c>
      <c r="I12" s="172" t="s">
        <v>239</v>
      </c>
      <c r="J12" s="172" t="s">
        <v>264</v>
      </c>
      <c r="K12" s="172">
        <v>11</v>
      </c>
      <c r="L12" s="172" t="s">
        <v>158</v>
      </c>
      <c r="M12" s="172" t="s">
        <v>159</v>
      </c>
      <c r="N12" s="174">
        <v>462</v>
      </c>
      <c r="O12" s="174">
        <f t="shared" si="3"/>
        <v>5082</v>
      </c>
      <c r="P12" s="180" t="s">
        <v>338</v>
      </c>
      <c r="Q12" s="172"/>
      <c r="R12" s="172"/>
      <c r="S12" s="121"/>
      <c r="T12" s="97"/>
      <c r="U12" s="97"/>
      <c r="V12" s="97"/>
    </row>
    <row r="13" spans="1:30" s="175" customFormat="1" x14ac:dyDescent="0.25">
      <c r="A13" s="171" t="s">
        <v>7</v>
      </c>
      <c r="B13" s="171" t="s">
        <v>77</v>
      </c>
      <c r="C13" s="172" t="s">
        <v>27</v>
      </c>
      <c r="D13" s="121" t="s">
        <v>28</v>
      </c>
      <c r="E13" s="173" t="str">
        <f>IFERROR(VLOOKUP(D13,AllZones!B:G,5,0),"-")</f>
        <v>Room name in French</v>
      </c>
      <c r="F13" s="173" t="str">
        <f>IFERROR(VLOOKUP(D13,AllZones!B:G,6,0),"-")</f>
        <v>Room name in Russian</v>
      </c>
      <c r="G13" s="173" t="s">
        <v>301</v>
      </c>
      <c r="H13" s="173" t="s">
        <v>302</v>
      </c>
      <c r="I13" s="172" t="s">
        <v>240</v>
      </c>
      <c r="J13" s="172" t="s">
        <v>265</v>
      </c>
      <c r="K13" s="172">
        <v>12</v>
      </c>
      <c r="L13" s="172" t="s">
        <v>158</v>
      </c>
      <c r="M13" s="172" t="s">
        <v>159</v>
      </c>
      <c r="N13" s="174">
        <v>329</v>
      </c>
      <c r="O13" s="174">
        <f t="shared" si="3"/>
        <v>3948</v>
      </c>
      <c r="P13" s="180" t="s">
        <v>339</v>
      </c>
      <c r="Q13" s="172"/>
      <c r="R13" s="172"/>
      <c r="S13" s="121"/>
      <c r="T13" s="97"/>
      <c r="U13" s="97"/>
      <c r="V13" s="97"/>
    </row>
    <row r="14" spans="1:30" s="175" customFormat="1" x14ac:dyDescent="0.25">
      <c r="A14" s="171" t="s">
        <v>7</v>
      </c>
      <c r="B14" s="171" t="s">
        <v>77</v>
      </c>
      <c r="C14" s="172" t="s">
        <v>27</v>
      </c>
      <c r="D14" s="121" t="s">
        <v>28</v>
      </c>
      <c r="E14" s="173" t="str">
        <f>IFERROR(VLOOKUP(D14,AllZones!B:G,5,0),"-")</f>
        <v>Room name in French</v>
      </c>
      <c r="F14" s="173" t="str">
        <f>IFERROR(VLOOKUP(D14,AllZones!B:G,6,0),"-")</f>
        <v>Room name in Russian</v>
      </c>
      <c r="G14" s="173" t="s">
        <v>303</v>
      </c>
      <c r="H14" s="173" t="s">
        <v>304</v>
      </c>
      <c r="I14" s="172" t="s">
        <v>241</v>
      </c>
      <c r="J14" s="172" t="s">
        <v>266</v>
      </c>
      <c r="K14" s="172">
        <v>13</v>
      </c>
      <c r="L14" s="172" t="s">
        <v>158</v>
      </c>
      <c r="M14" s="172" t="s">
        <v>159</v>
      </c>
      <c r="N14" s="174">
        <v>736</v>
      </c>
      <c r="O14" s="174">
        <f t="shared" ref="O14" si="4">ROUND(N14*K14,2)</f>
        <v>9568</v>
      </c>
      <c r="P14" s="180" t="s">
        <v>160</v>
      </c>
      <c r="Q14" s="172"/>
      <c r="R14" s="172"/>
      <c r="S14" s="121"/>
      <c r="T14" s="97"/>
      <c r="U14" s="97"/>
      <c r="V14" s="97"/>
    </row>
    <row r="15" spans="1:30" s="175" customFormat="1" x14ac:dyDescent="0.25">
      <c r="A15" s="171" t="s">
        <v>7</v>
      </c>
      <c r="B15" s="171" t="s">
        <v>77</v>
      </c>
      <c r="C15" s="172" t="s">
        <v>27</v>
      </c>
      <c r="D15" s="121" t="s">
        <v>28</v>
      </c>
      <c r="E15" s="173" t="str">
        <f>IFERROR(VLOOKUP(D15,AllZones!B:G,5,0),"-")</f>
        <v>Room name in French</v>
      </c>
      <c r="F15" s="173" t="str">
        <f>IFERROR(VLOOKUP(D15,AllZones!B:G,6,0),"-")</f>
        <v>Room name in Russian</v>
      </c>
      <c r="G15" s="173" t="s">
        <v>305</v>
      </c>
      <c r="H15" s="173" t="s">
        <v>306</v>
      </c>
      <c r="I15" s="172" t="s">
        <v>242</v>
      </c>
      <c r="J15" s="172" t="s">
        <v>267</v>
      </c>
      <c r="K15" s="172">
        <v>14</v>
      </c>
      <c r="L15" s="172" t="s">
        <v>158</v>
      </c>
      <c r="M15" s="172" t="s">
        <v>159</v>
      </c>
      <c r="N15" s="174">
        <v>999</v>
      </c>
      <c r="O15" s="174">
        <f t="shared" ref="O15:O16" si="5">ROUND(N15*K15,2)</f>
        <v>13986</v>
      </c>
      <c r="P15" s="180" t="s">
        <v>329</v>
      </c>
      <c r="Q15" s="172"/>
      <c r="R15" s="172"/>
      <c r="S15" s="121"/>
      <c r="T15" s="97"/>
      <c r="U15" s="97"/>
      <c r="V15" s="97"/>
    </row>
    <row r="16" spans="1:30" s="175" customFormat="1" x14ac:dyDescent="0.25">
      <c r="A16" s="171" t="s">
        <v>7</v>
      </c>
      <c r="B16" s="171" t="s">
        <v>77</v>
      </c>
      <c r="C16" s="172" t="s">
        <v>27</v>
      </c>
      <c r="D16" s="121" t="s">
        <v>28</v>
      </c>
      <c r="E16" s="173" t="str">
        <f>IFERROR(VLOOKUP(D16,AllZones!B:G,5,0),"-")</f>
        <v>Room name in French</v>
      </c>
      <c r="F16" s="173" t="str">
        <f>IFERROR(VLOOKUP(D16,AllZones!B:G,6,0),"-")</f>
        <v>Room name in Russian</v>
      </c>
      <c r="G16" s="173" t="s">
        <v>307</v>
      </c>
      <c r="H16" s="173" t="s">
        <v>308</v>
      </c>
      <c r="I16" s="172" t="s">
        <v>243</v>
      </c>
      <c r="J16" s="172" t="s">
        <v>268</v>
      </c>
      <c r="K16" s="172">
        <v>15</v>
      </c>
      <c r="L16" s="172" t="s">
        <v>158</v>
      </c>
      <c r="M16" s="172" t="s">
        <v>159</v>
      </c>
      <c r="N16" s="174">
        <v>574</v>
      </c>
      <c r="O16" s="174">
        <f t="shared" si="5"/>
        <v>8610</v>
      </c>
      <c r="P16" s="180" t="s">
        <v>330</v>
      </c>
      <c r="Q16" s="172"/>
      <c r="R16" s="172"/>
      <c r="S16" s="121"/>
      <c r="T16" s="97"/>
      <c r="U16" s="97"/>
      <c r="V16" s="97"/>
    </row>
    <row r="17" spans="1:22" s="175" customFormat="1" x14ac:dyDescent="0.25">
      <c r="A17" s="171" t="s">
        <v>7</v>
      </c>
      <c r="B17" s="171" t="s">
        <v>77</v>
      </c>
      <c r="C17" s="172" t="s">
        <v>27</v>
      </c>
      <c r="D17" s="121" t="s">
        <v>28</v>
      </c>
      <c r="E17" s="173" t="str">
        <f>IFERROR(VLOOKUP(D17,AllZones!B:G,5,0),"-")</f>
        <v>Room name in French</v>
      </c>
      <c r="F17" s="173" t="str">
        <f>IFERROR(VLOOKUP(D17,AllZones!B:G,6,0),"-")</f>
        <v>Room name in Russian</v>
      </c>
      <c r="G17" s="173" t="s">
        <v>309</v>
      </c>
      <c r="H17" s="173" t="s">
        <v>310</v>
      </c>
      <c r="I17" s="172" t="s">
        <v>244</v>
      </c>
      <c r="J17" s="172" t="s">
        <v>269</v>
      </c>
      <c r="K17" s="172">
        <v>16</v>
      </c>
      <c r="L17" s="172" t="s">
        <v>158</v>
      </c>
      <c r="M17" s="172" t="s">
        <v>159</v>
      </c>
      <c r="N17" s="174">
        <v>292</v>
      </c>
      <c r="O17" s="174">
        <f>ROUND(N17*K17,2)</f>
        <v>4672</v>
      </c>
      <c r="P17" s="180" t="s">
        <v>331</v>
      </c>
      <c r="Q17" s="172"/>
      <c r="R17" s="172"/>
      <c r="S17" s="121"/>
      <c r="T17" s="97"/>
      <c r="U17" s="97"/>
      <c r="V17" s="97"/>
    </row>
    <row r="18" spans="1:22" s="175" customFormat="1" x14ac:dyDescent="0.25">
      <c r="A18" s="171" t="s">
        <v>7</v>
      </c>
      <c r="B18" s="171" t="s">
        <v>104</v>
      </c>
      <c r="C18" s="172" t="s">
        <v>25</v>
      </c>
      <c r="D18" s="121" t="s">
        <v>26</v>
      </c>
      <c r="E18" s="173" t="str">
        <f>IFERROR(VLOOKUP(D18,AllZones!B:G,5,0),"-")</f>
        <v>Room name in French</v>
      </c>
      <c r="F18" s="173" t="str">
        <f>IFERROR(VLOOKUP(D18,AllZones!B:G,6,0),"-")</f>
        <v>Room name in Russian</v>
      </c>
      <c r="G18" s="173" t="s">
        <v>311</v>
      </c>
      <c r="H18" s="173" t="s">
        <v>312</v>
      </c>
      <c r="I18" s="172" t="s">
        <v>245</v>
      </c>
      <c r="J18" s="172" t="s">
        <v>270</v>
      </c>
      <c r="K18" s="172">
        <v>17</v>
      </c>
      <c r="L18" s="172" t="s">
        <v>158</v>
      </c>
      <c r="M18" s="172" t="s">
        <v>159</v>
      </c>
      <c r="N18" s="174">
        <v>224</v>
      </c>
      <c r="O18" s="174">
        <f t="shared" ref="O18" si="6">ROUND(N18*K18,2)</f>
        <v>3808</v>
      </c>
      <c r="P18" s="180" t="s">
        <v>332</v>
      </c>
      <c r="Q18" s="172"/>
      <c r="R18" s="172"/>
      <c r="S18" s="121"/>
      <c r="T18" s="97"/>
      <c r="U18" s="97"/>
      <c r="V18" s="97"/>
    </row>
    <row r="19" spans="1:22" s="175" customFormat="1" x14ac:dyDescent="0.25">
      <c r="A19" s="171" t="s">
        <v>7</v>
      </c>
      <c r="B19" s="171" t="s">
        <v>104</v>
      </c>
      <c r="C19" s="172" t="s">
        <v>25</v>
      </c>
      <c r="D19" s="121" t="s">
        <v>26</v>
      </c>
      <c r="E19" s="173" t="str">
        <f>IFERROR(VLOOKUP(D19,AllZones!B:G,5,0),"-")</f>
        <v>Room name in French</v>
      </c>
      <c r="F19" s="173" t="str">
        <f>IFERROR(VLOOKUP(D19,AllZones!B:G,6,0),"-")</f>
        <v>Room name in Russian</v>
      </c>
      <c r="G19" s="173" t="s">
        <v>313</v>
      </c>
      <c r="H19" s="173" t="s">
        <v>314</v>
      </c>
      <c r="I19" s="172" t="s">
        <v>246</v>
      </c>
      <c r="J19" s="172" t="s">
        <v>271</v>
      </c>
      <c r="K19" s="172">
        <v>18</v>
      </c>
      <c r="L19" s="172" t="s">
        <v>158</v>
      </c>
      <c r="M19" s="172" t="s">
        <v>159</v>
      </c>
      <c r="N19" s="174">
        <v>531</v>
      </c>
      <c r="O19" s="174">
        <f t="shared" ref="O19" si="7">ROUND(N19*K19,2)</f>
        <v>9558</v>
      </c>
      <c r="P19" s="180" t="s">
        <v>333</v>
      </c>
      <c r="Q19" s="172"/>
      <c r="R19" s="172"/>
      <c r="S19" s="121"/>
      <c r="T19" s="97"/>
      <c r="U19" s="97"/>
      <c r="V19" s="97"/>
    </row>
    <row r="20" spans="1:22" s="175" customFormat="1" x14ac:dyDescent="0.25">
      <c r="A20" s="171" t="s">
        <v>7</v>
      </c>
      <c r="B20" s="171" t="s">
        <v>104</v>
      </c>
      <c r="C20" s="172" t="s">
        <v>25</v>
      </c>
      <c r="D20" s="121" t="s">
        <v>26</v>
      </c>
      <c r="E20" s="173" t="str">
        <f>IFERROR(VLOOKUP(D20,AllZones!B:G,5,0),"-")</f>
        <v>Room name in French</v>
      </c>
      <c r="F20" s="173" t="str">
        <f>IFERROR(VLOOKUP(D20,AllZones!B:G,6,0),"-")</f>
        <v>Room name in Russian</v>
      </c>
      <c r="G20" s="173" t="s">
        <v>315</v>
      </c>
      <c r="H20" s="173" t="s">
        <v>316</v>
      </c>
      <c r="I20" s="172" t="s">
        <v>247</v>
      </c>
      <c r="J20" s="172" t="s">
        <v>272</v>
      </c>
      <c r="K20" s="172">
        <v>19</v>
      </c>
      <c r="L20" s="172" t="s">
        <v>158</v>
      </c>
      <c r="M20" s="172" t="s">
        <v>159</v>
      </c>
      <c r="N20" s="174">
        <v>971</v>
      </c>
      <c r="O20" s="174">
        <f t="shared" ref="O20" si="8">ROUND(N20*K20,2)</f>
        <v>18449</v>
      </c>
      <c r="P20" s="180" t="s">
        <v>334</v>
      </c>
      <c r="Q20" s="172"/>
      <c r="R20" s="172"/>
      <c r="S20" s="121"/>
      <c r="T20" s="97"/>
      <c r="U20" s="97"/>
      <c r="V20" s="97"/>
    </row>
    <row r="21" spans="1:22" s="175" customFormat="1" x14ac:dyDescent="0.25">
      <c r="A21" s="171" t="s">
        <v>7</v>
      </c>
      <c r="B21" s="171" t="s">
        <v>104</v>
      </c>
      <c r="C21" s="172" t="s">
        <v>25</v>
      </c>
      <c r="D21" s="121" t="s">
        <v>26</v>
      </c>
      <c r="E21" s="173" t="str">
        <f>IFERROR(VLOOKUP(D21,AllZones!B:G,5,0),"-")</f>
        <v>Room name in French</v>
      </c>
      <c r="F21" s="173" t="str">
        <f>IFERROR(VLOOKUP(D21,AllZones!B:G,6,0),"-")</f>
        <v>Room name in Russian</v>
      </c>
      <c r="G21" s="173" t="s">
        <v>317</v>
      </c>
      <c r="H21" s="173" t="s">
        <v>318</v>
      </c>
      <c r="I21" s="172" t="s">
        <v>248</v>
      </c>
      <c r="J21" s="172" t="s">
        <v>273</v>
      </c>
      <c r="K21" s="172">
        <v>20</v>
      </c>
      <c r="L21" s="172" t="s">
        <v>158</v>
      </c>
      <c r="M21" s="172" t="s">
        <v>159</v>
      </c>
      <c r="N21" s="174">
        <v>649</v>
      </c>
      <c r="O21" s="174">
        <f t="shared" ref="O21" si="9">ROUND(N21*K21,2)</f>
        <v>12980</v>
      </c>
      <c r="P21" s="180" t="s">
        <v>335</v>
      </c>
      <c r="Q21" s="172"/>
      <c r="R21" s="172"/>
      <c r="S21" s="121"/>
      <c r="T21" s="97"/>
      <c r="U21" s="97"/>
      <c r="V21" s="97"/>
    </row>
    <row r="22" spans="1:22" s="175" customFormat="1" x14ac:dyDescent="0.25">
      <c r="A22" s="171" t="s">
        <v>7</v>
      </c>
      <c r="B22" s="171" t="s">
        <v>104</v>
      </c>
      <c r="C22" s="172" t="s">
        <v>25</v>
      </c>
      <c r="D22" s="121" t="s">
        <v>26</v>
      </c>
      <c r="E22" s="173" t="str">
        <f>IFERROR(VLOOKUP(D22,AllZones!B:G,5,0),"-")</f>
        <v>Room name in French</v>
      </c>
      <c r="F22" s="173" t="str">
        <f>IFERROR(VLOOKUP(D22,AllZones!B:G,6,0),"-")</f>
        <v>Room name in Russian</v>
      </c>
      <c r="G22" s="173" t="s">
        <v>319</v>
      </c>
      <c r="H22" s="173" t="s">
        <v>320</v>
      </c>
      <c r="I22" s="172" t="s">
        <v>249</v>
      </c>
      <c r="J22" s="172" t="s">
        <v>274</v>
      </c>
      <c r="K22" s="172">
        <v>21</v>
      </c>
      <c r="L22" s="172" t="s">
        <v>158</v>
      </c>
      <c r="M22" s="172" t="s">
        <v>159</v>
      </c>
      <c r="N22" s="174">
        <v>711</v>
      </c>
      <c r="O22" s="174">
        <f t="shared" ref="O22" si="10">ROUND(N22*K22,2)</f>
        <v>14931</v>
      </c>
      <c r="P22" s="180" t="s">
        <v>336</v>
      </c>
      <c r="Q22" s="172"/>
      <c r="R22" s="172"/>
      <c r="S22" s="121"/>
      <c r="T22" s="97"/>
      <c r="U22" s="97"/>
      <c r="V22" s="97"/>
    </row>
    <row r="23" spans="1:22" s="175" customFormat="1" x14ac:dyDescent="0.25">
      <c r="A23" s="171" t="s">
        <v>7</v>
      </c>
      <c r="B23" s="171" t="s">
        <v>104</v>
      </c>
      <c r="C23" s="172" t="s">
        <v>25</v>
      </c>
      <c r="D23" s="121" t="s">
        <v>26</v>
      </c>
      <c r="E23" s="173" t="str">
        <f>IFERROR(VLOOKUP(D23,AllZones!B:G,5,0),"-")</f>
        <v>Room name in French</v>
      </c>
      <c r="F23" s="173" t="str">
        <f>IFERROR(VLOOKUP(D23,AllZones!B:G,6,0),"-")</f>
        <v>Room name in Russian</v>
      </c>
      <c r="G23" s="173" t="s">
        <v>321</v>
      </c>
      <c r="H23" s="173" t="s">
        <v>322</v>
      </c>
      <c r="I23" s="172" t="s">
        <v>250</v>
      </c>
      <c r="J23" s="172" t="s">
        <v>275</v>
      </c>
      <c r="K23" s="172">
        <v>22</v>
      </c>
      <c r="L23" s="172" t="s">
        <v>158</v>
      </c>
      <c r="M23" s="172" t="s">
        <v>159</v>
      </c>
      <c r="N23" s="174">
        <v>514</v>
      </c>
      <c r="O23" s="174">
        <f t="shared" ref="O23:O25" si="11">ROUND(N23*K23,2)</f>
        <v>11308</v>
      </c>
      <c r="P23" s="180" t="s">
        <v>337</v>
      </c>
      <c r="Q23" s="172"/>
      <c r="R23" s="172"/>
      <c r="S23" s="121"/>
      <c r="T23" s="97"/>
      <c r="U23" s="97"/>
      <c r="V23" s="97"/>
    </row>
    <row r="24" spans="1:22" s="175" customFormat="1" x14ac:dyDescent="0.25">
      <c r="A24" s="171" t="s">
        <v>7</v>
      </c>
      <c r="B24" s="171" t="s">
        <v>104</v>
      </c>
      <c r="C24" s="172" t="s">
        <v>25</v>
      </c>
      <c r="D24" s="121" t="s">
        <v>26</v>
      </c>
      <c r="E24" s="173" t="str">
        <f>IFERROR(VLOOKUP(D24,AllZones!B:G,5,0),"-")</f>
        <v>Room name in French</v>
      </c>
      <c r="F24" s="173" t="str">
        <f>IFERROR(VLOOKUP(D24,AllZones!B:G,6,0),"-")</f>
        <v>Room name in Russian</v>
      </c>
      <c r="G24" s="173" t="s">
        <v>323</v>
      </c>
      <c r="H24" s="173" t="s">
        <v>324</v>
      </c>
      <c r="I24" s="172" t="s">
        <v>251</v>
      </c>
      <c r="J24" s="172" t="s">
        <v>276</v>
      </c>
      <c r="K24" s="172">
        <v>23</v>
      </c>
      <c r="L24" s="172" t="s">
        <v>158</v>
      </c>
      <c r="M24" s="172" t="s">
        <v>159</v>
      </c>
      <c r="N24" s="174">
        <v>547</v>
      </c>
      <c r="O24" s="174">
        <f t="shared" si="11"/>
        <v>12581</v>
      </c>
      <c r="P24" s="180" t="s">
        <v>338</v>
      </c>
      <c r="Q24" s="172"/>
      <c r="R24" s="172"/>
      <c r="S24" s="121"/>
      <c r="T24" s="97"/>
      <c r="U24" s="97"/>
      <c r="V24" s="97"/>
    </row>
    <row r="25" spans="1:22" s="175" customFormat="1" x14ac:dyDescent="0.25">
      <c r="A25" s="171" t="s">
        <v>7</v>
      </c>
      <c r="B25" s="171" t="s">
        <v>104</v>
      </c>
      <c r="C25" s="172" t="s">
        <v>25</v>
      </c>
      <c r="D25" s="121" t="s">
        <v>26</v>
      </c>
      <c r="E25" s="173" t="str">
        <f>IFERROR(VLOOKUP(D25,AllZones!B:G,5,0),"-")</f>
        <v>Room name in French</v>
      </c>
      <c r="F25" s="173" t="str">
        <f>IFERROR(VLOOKUP(D25,AllZones!B:G,6,0),"-")</f>
        <v>Room name in Russian</v>
      </c>
      <c r="G25" s="173" t="s">
        <v>325</v>
      </c>
      <c r="H25" s="173" t="s">
        <v>326</v>
      </c>
      <c r="I25" s="172" t="s">
        <v>252</v>
      </c>
      <c r="J25" s="172" t="s">
        <v>277</v>
      </c>
      <c r="K25" s="172">
        <v>24</v>
      </c>
      <c r="L25" s="172" t="s">
        <v>158</v>
      </c>
      <c r="M25" s="172" t="s">
        <v>159</v>
      </c>
      <c r="N25" s="174">
        <v>451</v>
      </c>
      <c r="O25" s="174">
        <f t="shared" si="11"/>
        <v>10824</v>
      </c>
      <c r="P25" s="180" t="s">
        <v>339</v>
      </c>
      <c r="Q25" s="172"/>
      <c r="R25" s="172"/>
      <c r="S25" s="121"/>
      <c r="T25" s="97"/>
      <c r="U25" s="97"/>
      <c r="V25" s="97"/>
    </row>
    <row r="26" spans="1:22" s="175" customFormat="1" x14ac:dyDescent="0.25">
      <c r="A26" s="171" t="s">
        <v>7</v>
      </c>
      <c r="B26" s="171" t="s">
        <v>104</v>
      </c>
      <c r="C26" s="172" t="s">
        <v>25</v>
      </c>
      <c r="D26" s="121" t="s">
        <v>26</v>
      </c>
      <c r="E26" s="173" t="str">
        <f>IFERROR(VLOOKUP(D26,AllZones!B:G,5,0),"-")</f>
        <v>Room name in French</v>
      </c>
      <c r="F26" s="173" t="str">
        <f>IFERROR(VLOOKUP(D26,AllZones!B:G,6,0),"-")</f>
        <v>Room name in Russian</v>
      </c>
      <c r="G26" s="173" t="s">
        <v>327</v>
      </c>
      <c r="H26" s="173" t="s">
        <v>328</v>
      </c>
      <c r="I26" s="172" t="s">
        <v>253</v>
      </c>
      <c r="J26" s="172" t="s">
        <v>278</v>
      </c>
      <c r="K26" s="172">
        <v>25</v>
      </c>
      <c r="L26" s="172" t="s">
        <v>158</v>
      </c>
      <c r="M26" s="172" t="s">
        <v>159</v>
      </c>
      <c r="N26" s="174">
        <v>908</v>
      </c>
      <c r="O26" s="174">
        <f t="shared" ref="O26" si="12">ROUND(N26*K26,2)</f>
        <v>22700</v>
      </c>
      <c r="P26" s="180" t="s">
        <v>160</v>
      </c>
      <c r="Q26" s="172"/>
      <c r="R26" s="172"/>
      <c r="S26" s="121"/>
      <c r="T26" s="97"/>
      <c r="U26" s="97"/>
      <c r="V26" s="97"/>
    </row>
    <row r="27" spans="1:22" s="175" customFormat="1" x14ac:dyDescent="0.25">
      <c r="D27" s="176"/>
      <c r="E27" s="120"/>
      <c r="F27" s="120"/>
      <c r="G27" s="177"/>
      <c r="H27" s="177"/>
      <c r="N27" s="178"/>
      <c r="O27" s="178"/>
      <c r="P27" s="179"/>
      <c r="S27" s="176"/>
      <c r="T27" s="179"/>
      <c r="U27" s="179"/>
      <c r="V27" s="179"/>
    </row>
    <row r="28" spans="1:22" s="175" customFormat="1" x14ac:dyDescent="0.25">
      <c r="D28" s="176"/>
      <c r="E28" s="120"/>
      <c r="F28" s="120"/>
      <c r="G28" s="177"/>
      <c r="H28" s="177"/>
      <c r="N28" s="178"/>
      <c r="O28" s="178"/>
      <c r="P28" s="179"/>
      <c r="S28" s="176"/>
      <c r="T28" s="179"/>
      <c r="U28" s="179"/>
      <c r="V28" s="179"/>
    </row>
  </sheetData>
  <sheetProtection formatCells="0" formatColumns="0" formatRows="0" insertRows="0" deleteRows="0" autoFilter="0"/>
  <autoFilter ref="A1:AD26" xr:uid="{00000000-0009-0000-0000-000000000000}"/>
  <phoneticPr fontId="59" type="noConversion"/>
  <pageMargins left="0.7" right="0.7" top="0.75" bottom="0.75" header="0.3" footer="0.3"/>
  <pageSetup paperSize="9" scale="2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howMainMenu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1</xdr:col>
                    <xdr:colOff>485775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OFFSET(data!$A$1,1,0,COUNTA(data!$A:$A)-1,1)</xm:f>
          </x14:formula1>
          <xm:sqref>A1:A25 A26:A1048576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U27"/>
  <sheetViews>
    <sheetView zoomScale="85" zoomScaleNormal="85" workbookViewId="0">
      <pane ySplit="1" topLeftCell="A2" activePane="bottomLeft" state="frozen"/>
      <selection pane="bottomLeft" activeCell="G13" sqref="G13"/>
    </sheetView>
  </sheetViews>
  <sheetFormatPr defaultRowHeight="15" x14ac:dyDescent="0.25"/>
  <cols>
    <col min="1" max="1" width="9.85546875" style="61" customWidth="1"/>
    <col min="2" max="2" width="24.28515625" style="61" customWidth="1"/>
    <col min="3" max="3" width="11.7109375" style="61" customWidth="1"/>
    <col min="4" max="4" width="9.140625" style="61"/>
    <col min="5" max="7" width="35.42578125" style="61" customWidth="1"/>
    <col min="8" max="8" width="15.28515625" style="61" customWidth="1"/>
    <col min="9" max="9" width="11.42578125" style="63" customWidth="1"/>
    <col min="10" max="10" width="13.85546875" style="61" customWidth="1"/>
    <col min="11" max="13" width="13.85546875" style="122" customWidth="1"/>
    <col min="14" max="14" width="13.5703125" style="122" customWidth="1"/>
    <col min="15" max="17" width="13.5703125" style="61" customWidth="1"/>
    <col min="18" max="16384" width="9.140625" style="61"/>
  </cols>
  <sheetData>
    <row r="1" spans="1:21" s="60" customFormat="1" ht="56.25" customHeight="1" thickBot="1" x14ac:dyDescent="0.3">
      <c r="A1" s="59" t="s">
        <v>44</v>
      </c>
      <c r="B1" s="59" t="s">
        <v>38</v>
      </c>
      <c r="C1" s="59" t="s">
        <v>39</v>
      </c>
      <c r="D1" s="59" t="s">
        <v>40</v>
      </c>
      <c r="E1" s="59" t="s">
        <v>23</v>
      </c>
      <c r="F1" s="59" t="s">
        <v>41</v>
      </c>
      <c r="G1" s="59" t="s">
        <v>42</v>
      </c>
      <c r="H1" s="59" t="s">
        <v>22</v>
      </c>
      <c r="I1" s="62" t="s">
        <v>43</v>
      </c>
      <c r="J1" s="59" t="s">
        <v>225</v>
      </c>
      <c r="K1" s="59" t="s">
        <v>220</v>
      </c>
      <c r="L1" s="59" t="s">
        <v>221</v>
      </c>
      <c r="M1" s="59" t="s">
        <v>222</v>
      </c>
      <c r="N1" s="59" t="s">
        <v>199</v>
      </c>
      <c r="O1" s="59" t="s">
        <v>200</v>
      </c>
      <c r="P1" s="59" t="s">
        <v>201</v>
      </c>
      <c r="Q1" s="59" t="s">
        <v>203</v>
      </c>
      <c r="U1" s="60" t="s">
        <v>138</v>
      </c>
    </row>
    <row r="2" spans="1:21" x14ac:dyDescent="0.25">
      <c r="A2" s="61" t="s">
        <v>7</v>
      </c>
      <c r="B2" s="61" t="s">
        <v>30</v>
      </c>
      <c r="C2" s="61" t="s">
        <v>105</v>
      </c>
      <c r="D2" s="61" t="s">
        <v>15</v>
      </c>
      <c r="E2" s="61" t="s">
        <v>368</v>
      </c>
      <c r="F2" s="61" t="s">
        <v>369</v>
      </c>
      <c r="G2" s="61" t="s">
        <v>370</v>
      </c>
      <c r="I2" s="63" t="s">
        <v>124</v>
      </c>
      <c r="J2" s="61" t="str">
        <f t="shared" ref="J2:J27" si="0">_xlfn.CONCAT(K2, "-", L2, "-", M2)</f>
        <v>CEA12-MEC-ELC</v>
      </c>
      <c r="K2" s="122" t="s">
        <v>226</v>
      </c>
      <c r="L2" s="122" t="s">
        <v>223</v>
      </c>
      <c r="M2" s="122" t="s">
        <v>224</v>
      </c>
      <c r="N2" s="61">
        <v>12001</v>
      </c>
      <c r="O2" s="61">
        <v>32001</v>
      </c>
      <c r="P2" s="61">
        <v>22001</v>
      </c>
      <c r="Q2" s="61">
        <v>42001</v>
      </c>
    </row>
    <row r="3" spans="1:21" x14ac:dyDescent="0.25">
      <c r="A3" s="61" t="s">
        <v>7</v>
      </c>
      <c r="B3" s="61" t="s">
        <v>28</v>
      </c>
      <c r="C3" s="61" t="s">
        <v>105</v>
      </c>
      <c r="D3" s="61" t="s">
        <v>15</v>
      </c>
      <c r="E3" s="61" t="s">
        <v>368</v>
      </c>
      <c r="F3" s="61" t="s">
        <v>369</v>
      </c>
      <c r="G3" s="61" t="s">
        <v>370</v>
      </c>
      <c r="I3" s="63" t="s">
        <v>125</v>
      </c>
      <c r="J3" s="61" t="str">
        <f t="shared" si="0"/>
        <v>CEA12-MEC-ELC</v>
      </c>
      <c r="K3" s="122" t="s">
        <v>226</v>
      </c>
      <c r="L3" s="122" t="s">
        <v>223</v>
      </c>
      <c r="M3" s="122" t="s">
        <v>224</v>
      </c>
      <c r="N3" s="61">
        <v>14001</v>
      </c>
      <c r="O3" s="61">
        <v>34001</v>
      </c>
      <c r="P3" s="61">
        <v>24001</v>
      </c>
      <c r="Q3" s="61">
        <v>44001</v>
      </c>
    </row>
    <row r="4" spans="1:21" x14ac:dyDescent="0.25">
      <c r="A4" s="61" t="s">
        <v>7</v>
      </c>
      <c r="B4" s="61" t="s">
        <v>26</v>
      </c>
      <c r="C4" s="61" t="s">
        <v>105</v>
      </c>
      <c r="D4" s="61" t="s">
        <v>15</v>
      </c>
      <c r="E4" s="61" t="s">
        <v>368</v>
      </c>
      <c r="F4" s="61" t="s">
        <v>369</v>
      </c>
      <c r="G4" s="61" t="s">
        <v>370</v>
      </c>
      <c r="I4" s="63" t="s">
        <v>126</v>
      </c>
      <c r="J4" s="61" t="str">
        <f t="shared" si="0"/>
        <v>CEA12-MEC-ELC</v>
      </c>
      <c r="K4" s="122" t="s">
        <v>226</v>
      </c>
      <c r="L4" s="122" t="s">
        <v>223</v>
      </c>
      <c r="M4" s="122" t="s">
        <v>224</v>
      </c>
      <c r="N4" s="61">
        <v>13001</v>
      </c>
      <c r="O4" s="61">
        <v>33001</v>
      </c>
      <c r="P4" s="61">
        <v>23001</v>
      </c>
      <c r="Q4" s="61">
        <v>43001</v>
      </c>
    </row>
    <row r="5" spans="1:21" x14ac:dyDescent="0.25">
      <c r="A5" s="61" t="s">
        <v>7</v>
      </c>
      <c r="B5" s="61" t="s">
        <v>343</v>
      </c>
      <c r="C5" s="61" t="s">
        <v>105</v>
      </c>
      <c r="D5" s="61" t="s">
        <v>366</v>
      </c>
      <c r="E5" s="61" t="s">
        <v>368</v>
      </c>
      <c r="F5" s="61" t="s">
        <v>369</v>
      </c>
      <c r="G5" s="61" t="s">
        <v>370</v>
      </c>
      <c r="I5" s="63" t="s">
        <v>100</v>
      </c>
      <c r="J5" s="61" t="str">
        <f t="shared" si="0"/>
        <v>-MEC-</v>
      </c>
      <c r="L5" s="122" t="s">
        <v>223</v>
      </c>
      <c r="N5" s="61">
        <v>11001</v>
      </c>
      <c r="O5" s="61" t="s">
        <v>206</v>
      </c>
      <c r="P5" s="61" t="s">
        <v>205</v>
      </c>
      <c r="Q5" s="61" t="s">
        <v>207</v>
      </c>
    </row>
    <row r="6" spans="1:21" x14ac:dyDescent="0.25">
      <c r="A6" s="61" t="s">
        <v>7</v>
      </c>
      <c r="B6" s="61" t="s">
        <v>344</v>
      </c>
      <c r="C6" s="61" t="s">
        <v>105</v>
      </c>
      <c r="D6" s="61" t="s">
        <v>366</v>
      </c>
      <c r="E6" s="61" t="s">
        <v>368</v>
      </c>
      <c r="F6" s="61" t="s">
        <v>369</v>
      </c>
      <c r="G6" s="61" t="s">
        <v>370</v>
      </c>
      <c r="I6" s="63" t="s">
        <v>127</v>
      </c>
      <c r="J6" s="61" t="str">
        <f t="shared" si="0"/>
        <v>CEA12-MEC-ELC</v>
      </c>
      <c r="K6" s="122" t="s">
        <v>226</v>
      </c>
      <c r="L6" s="122" t="s">
        <v>223</v>
      </c>
      <c r="M6" s="122" t="s">
        <v>224</v>
      </c>
      <c r="N6" s="61">
        <v>11001</v>
      </c>
      <c r="O6" s="61" t="s">
        <v>206</v>
      </c>
      <c r="P6" s="61" t="s">
        <v>205</v>
      </c>
      <c r="Q6" s="61" t="s">
        <v>207</v>
      </c>
    </row>
    <row r="7" spans="1:21" x14ac:dyDescent="0.25">
      <c r="A7" s="61" t="s">
        <v>7</v>
      </c>
      <c r="B7" s="61" t="s">
        <v>345</v>
      </c>
      <c r="C7" s="61" t="s">
        <v>105</v>
      </c>
      <c r="D7" s="61" t="s">
        <v>366</v>
      </c>
      <c r="E7" s="61" t="s">
        <v>368</v>
      </c>
      <c r="F7" s="61" t="s">
        <v>369</v>
      </c>
      <c r="G7" s="61" t="s">
        <v>370</v>
      </c>
      <c r="I7" s="63" t="s">
        <v>128</v>
      </c>
      <c r="J7" s="61" t="str">
        <f t="shared" si="0"/>
        <v>-MEC-</v>
      </c>
      <c r="L7" s="122" t="s">
        <v>223</v>
      </c>
      <c r="N7" s="61">
        <v>11001</v>
      </c>
      <c r="O7" s="61" t="s">
        <v>206</v>
      </c>
      <c r="P7" s="61" t="s">
        <v>205</v>
      </c>
      <c r="Q7" s="61" t="s">
        <v>207</v>
      </c>
    </row>
    <row r="8" spans="1:21" x14ac:dyDescent="0.25">
      <c r="A8" s="61" t="s">
        <v>7</v>
      </c>
      <c r="B8" s="61" t="s">
        <v>346</v>
      </c>
      <c r="C8" s="61" t="s">
        <v>105</v>
      </c>
      <c r="D8" s="61" t="s">
        <v>366</v>
      </c>
      <c r="E8" s="61" t="s">
        <v>368</v>
      </c>
      <c r="F8" s="61" t="s">
        <v>369</v>
      </c>
      <c r="G8" s="61" t="s">
        <v>370</v>
      </c>
      <c r="I8" s="63" t="s">
        <v>106</v>
      </c>
      <c r="J8" s="61" t="str">
        <f t="shared" si="0"/>
        <v>-MEC-ELC</v>
      </c>
      <c r="L8" s="122" t="s">
        <v>223</v>
      </c>
      <c r="M8" s="122" t="s">
        <v>224</v>
      </c>
      <c r="N8" s="61">
        <v>11001</v>
      </c>
      <c r="O8" s="61" t="s">
        <v>206</v>
      </c>
      <c r="P8" s="61" t="s">
        <v>205</v>
      </c>
      <c r="Q8" s="61" t="s">
        <v>207</v>
      </c>
    </row>
    <row r="9" spans="1:21" x14ac:dyDescent="0.25">
      <c r="A9" s="61" t="s">
        <v>7</v>
      </c>
      <c r="B9" s="61" t="s">
        <v>347</v>
      </c>
      <c r="C9" s="61" t="s">
        <v>105</v>
      </c>
      <c r="D9" s="61" t="s">
        <v>366</v>
      </c>
      <c r="E9" s="61" t="s">
        <v>368</v>
      </c>
      <c r="F9" s="61" t="s">
        <v>369</v>
      </c>
      <c r="G9" s="61" t="s">
        <v>370</v>
      </c>
      <c r="I9" s="63" t="s">
        <v>110</v>
      </c>
      <c r="J9" s="61" t="str">
        <f t="shared" si="0"/>
        <v>-MEC-</v>
      </c>
      <c r="L9" s="122" t="s">
        <v>223</v>
      </c>
      <c r="N9" s="61">
        <v>11001</v>
      </c>
      <c r="O9" s="61" t="s">
        <v>206</v>
      </c>
      <c r="P9" s="61" t="s">
        <v>205</v>
      </c>
      <c r="Q9" s="61" t="s">
        <v>207</v>
      </c>
    </row>
    <row r="10" spans="1:21" x14ac:dyDescent="0.25">
      <c r="A10" s="61" t="s">
        <v>7</v>
      </c>
      <c r="B10" s="61" t="s">
        <v>348</v>
      </c>
      <c r="C10" s="61" t="s">
        <v>105</v>
      </c>
      <c r="D10" s="61" t="s">
        <v>366</v>
      </c>
      <c r="E10" s="61" t="s">
        <v>368</v>
      </c>
      <c r="F10" s="61" t="s">
        <v>369</v>
      </c>
      <c r="G10" s="61" t="s">
        <v>370</v>
      </c>
      <c r="I10" s="63" t="s">
        <v>112</v>
      </c>
      <c r="J10" s="61" t="str">
        <f t="shared" si="0"/>
        <v>--</v>
      </c>
      <c r="N10" s="61">
        <v>11001</v>
      </c>
      <c r="O10" s="61" t="s">
        <v>206</v>
      </c>
      <c r="P10" s="61" t="s">
        <v>205</v>
      </c>
      <c r="Q10" s="61" t="s">
        <v>207</v>
      </c>
    </row>
    <row r="11" spans="1:21" x14ac:dyDescent="0.25">
      <c r="A11" s="61" t="s">
        <v>7</v>
      </c>
      <c r="B11" s="61" t="s">
        <v>349</v>
      </c>
      <c r="C11" s="61" t="s">
        <v>105</v>
      </c>
      <c r="D11" s="61" t="s">
        <v>366</v>
      </c>
      <c r="E11" s="61" t="s">
        <v>368</v>
      </c>
      <c r="F11" s="61" t="s">
        <v>369</v>
      </c>
      <c r="G11" s="61" t="s">
        <v>370</v>
      </c>
      <c r="I11" s="63" t="s">
        <v>114</v>
      </c>
      <c r="J11" s="61" t="str">
        <f t="shared" si="0"/>
        <v>--</v>
      </c>
      <c r="N11" s="61">
        <v>11001</v>
      </c>
      <c r="O11" s="61" t="s">
        <v>206</v>
      </c>
      <c r="P11" s="61" t="s">
        <v>205</v>
      </c>
      <c r="Q11" s="61" t="s">
        <v>207</v>
      </c>
    </row>
    <row r="12" spans="1:21" x14ac:dyDescent="0.25">
      <c r="A12" s="61" t="s">
        <v>7</v>
      </c>
      <c r="B12" s="61" t="s">
        <v>350</v>
      </c>
      <c r="C12" s="61" t="s">
        <v>105</v>
      </c>
      <c r="D12" s="61" t="s">
        <v>366</v>
      </c>
      <c r="E12" s="61" t="s">
        <v>368</v>
      </c>
      <c r="F12" s="61" t="s">
        <v>369</v>
      </c>
      <c r="G12" s="61" t="s">
        <v>370</v>
      </c>
      <c r="I12" s="63" t="s">
        <v>129</v>
      </c>
      <c r="J12" s="61" t="str">
        <f t="shared" si="0"/>
        <v>--</v>
      </c>
      <c r="N12" s="61">
        <v>11001</v>
      </c>
      <c r="O12" s="61" t="s">
        <v>206</v>
      </c>
      <c r="P12" s="61" t="s">
        <v>205</v>
      </c>
      <c r="Q12" s="61" t="s">
        <v>207</v>
      </c>
    </row>
    <row r="13" spans="1:21" x14ac:dyDescent="0.25">
      <c r="A13" s="61" t="s">
        <v>7</v>
      </c>
      <c r="B13" s="61" t="s">
        <v>351</v>
      </c>
      <c r="C13" s="61" t="s">
        <v>105</v>
      </c>
      <c r="D13" s="61" t="s">
        <v>366</v>
      </c>
      <c r="E13" s="61" t="s">
        <v>368</v>
      </c>
      <c r="F13" s="61" t="s">
        <v>369</v>
      </c>
      <c r="G13" s="61" t="s">
        <v>370</v>
      </c>
      <c r="I13" s="63" t="s">
        <v>101</v>
      </c>
      <c r="J13" s="61" t="str">
        <f t="shared" si="0"/>
        <v>--</v>
      </c>
      <c r="N13" s="61">
        <v>11001</v>
      </c>
      <c r="O13" s="61" t="s">
        <v>206</v>
      </c>
      <c r="P13" s="61" t="s">
        <v>205</v>
      </c>
      <c r="Q13" s="61" t="s">
        <v>207</v>
      </c>
    </row>
    <row r="14" spans="1:21" x14ac:dyDescent="0.25">
      <c r="A14" s="61" t="s">
        <v>7</v>
      </c>
      <c r="B14" s="61" t="s">
        <v>352</v>
      </c>
      <c r="C14" s="61" t="s">
        <v>105</v>
      </c>
      <c r="D14" s="61" t="s">
        <v>366</v>
      </c>
      <c r="E14" s="61" t="s">
        <v>368</v>
      </c>
      <c r="F14" s="61" t="s">
        <v>369</v>
      </c>
      <c r="G14" s="61" t="s">
        <v>370</v>
      </c>
      <c r="I14" s="63" t="s">
        <v>130</v>
      </c>
      <c r="J14" s="61" t="str">
        <f t="shared" si="0"/>
        <v>--</v>
      </c>
      <c r="N14" s="61">
        <v>11001</v>
      </c>
      <c r="O14" s="61" t="s">
        <v>206</v>
      </c>
      <c r="P14" s="61" t="s">
        <v>205</v>
      </c>
      <c r="Q14" s="61" t="s">
        <v>207</v>
      </c>
    </row>
    <row r="15" spans="1:21" x14ac:dyDescent="0.25">
      <c r="A15" s="61" t="s">
        <v>7</v>
      </c>
      <c r="B15" s="61" t="s">
        <v>353</v>
      </c>
      <c r="C15" s="61" t="s">
        <v>105</v>
      </c>
      <c r="D15" s="61" t="s">
        <v>366</v>
      </c>
      <c r="E15" s="61" t="s">
        <v>368</v>
      </c>
      <c r="F15" s="61" t="s">
        <v>369</v>
      </c>
      <c r="G15" s="61" t="s">
        <v>370</v>
      </c>
      <c r="I15" s="63" t="s">
        <v>131</v>
      </c>
      <c r="J15" s="61" t="str">
        <f t="shared" si="0"/>
        <v>-MEC-</v>
      </c>
      <c r="L15" s="122" t="s">
        <v>223</v>
      </c>
      <c r="N15" s="61">
        <v>11001</v>
      </c>
      <c r="O15" s="61" t="s">
        <v>206</v>
      </c>
      <c r="P15" s="61" t="s">
        <v>205</v>
      </c>
      <c r="Q15" s="61" t="s">
        <v>207</v>
      </c>
    </row>
    <row r="16" spans="1:21" x14ac:dyDescent="0.25">
      <c r="A16" s="61" t="s">
        <v>7</v>
      </c>
      <c r="B16" s="61" t="s">
        <v>354</v>
      </c>
      <c r="C16" s="61" t="s">
        <v>105</v>
      </c>
      <c r="D16" s="61" t="s">
        <v>366</v>
      </c>
      <c r="E16" s="61" t="s">
        <v>368</v>
      </c>
      <c r="F16" s="61" t="s">
        <v>369</v>
      </c>
      <c r="G16" s="61" t="s">
        <v>370</v>
      </c>
      <c r="I16" s="63" t="s">
        <v>29</v>
      </c>
      <c r="J16" s="61" t="str">
        <f t="shared" si="0"/>
        <v>-MEC-</v>
      </c>
      <c r="L16" s="122" t="s">
        <v>223</v>
      </c>
      <c r="N16" s="61">
        <v>11001</v>
      </c>
      <c r="O16" s="61" t="s">
        <v>206</v>
      </c>
      <c r="P16" s="61" t="s">
        <v>205</v>
      </c>
      <c r="Q16" s="61" t="s">
        <v>207</v>
      </c>
    </row>
    <row r="17" spans="1:17" x14ac:dyDescent="0.25">
      <c r="A17" s="61" t="s">
        <v>7</v>
      </c>
      <c r="B17" s="61" t="s">
        <v>355</v>
      </c>
      <c r="C17" s="61" t="s">
        <v>105</v>
      </c>
      <c r="D17" s="61" t="s">
        <v>366</v>
      </c>
      <c r="E17" s="61" t="s">
        <v>368</v>
      </c>
      <c r="F17" s="61" t="s">
        <v>369</v>
      </c>
      <c r="G17" s="61" t="s">
        <v>370</v>
      </c>
      <c r="I17" s="63" t="s">
        <v>103</v>
      </c>
      <c r="J17" s="61" t="str">
        <f t="shared" si="0"/>
        <v>CEA12-MEC-ELC</v>
      </c>
      <c r="K17" s="122" t="s">
        <v>226</v>
      </c>
      <c r="L17" s="122" t="s">
        <v>223</v>
      </c>
      <c r="M17" s="122" t="s">
        <v>224</v>
      </c>
      <c r="N17" s="61">
        <v>11001</v>
      </c>
      <c r="O17" s="61" t="s">
        <v>206</v>
      </c>
      <c r="P17" s="61" t="s">
        <v>205</v>
      </c>
      <c r="Q17" s="61" t="s">
        <v>207</v>
      </c>
    </row>
    <row r="18" spans="1:17" x14ac:dyDescent="0.25">
      <c r="A18" s="61" t="s">
        <v>7</v>
      </c>
      <c r="B18" s="61" t="s">
        <v>356</v>
      </c>
      <c r="C18" s="61" t="s">
        <v>105</v>
      </c>
      <c r="D18" s="61" t="s">
        <v>367</v>
      </c>
      <c r="E18" s="61" t="s">
        <v>368</v>
      </c>
      <c r="F18" s="61" t="s">
        <v>369</v>
      </c>
      <c r="G18" s="61" t="s">
        <v>370</v>
      </c>
      <c r="I18" s="63" t="s">
        <v>132</v>
      </c>
      <c r="J18" s="61" t="str">
        <f t="shared" si="0"/>
        <v>--</v>
      </c>
      <c r="N18" s="61">
        <v>12001</v>
      </c>
      <c r="O18" s="61" t="s">
        <v>209</v>
      </c>
      <c r="P18" s="61" t="s">
        <v>208</v>
      </c>
      <c r="Q18" s="61" t="s">
        <v>210</v>
      </c>
    </row>
    <row r="19" spans="1:17" x14ac:dyDescent="0.25">
      <c r="A19" s="61" t="s">
        <v>7</v>
      </c>
      <c r="B19" s="61" t="s">
        <v>357</v>
      </c>
      <c r="C19" s="61" t="s">
        <v>105</v>
      </c>
      <c r="D19" s="61" t="s">
        <v>367</v>
      </c>
      <c r="E19" s="61" t="s">
        <v>368</v>
      </c>
      <c r="F19" s="61" t="s">
        <v>369</v>
      </c>
      <c r="G19" s="61" t="s">
        <v>370</v>
      </c>
      <c r="I19" s="63" t="s">
        <v>107</v>
      </c>
      <c r="J19" s="61" t="str">
        <f t="shared" si="0"/>
        <v>--</v>
      </c>
      <c r="N19" s="61">
        <v>12001</v>
      </c>
      <c r="O19" s="61" t="s">
        <v>209</v>
      </c>
      <c r="P19" s="61" t="s">
        <v>208</v>
      </c>
      <c r="Q19" s="61" t="s">
        <v>210</v>
      </c>
    </row>
    <row r="20" spans="1:17" x14ac:dyDescent="0.25">
      <c r="A20" s="61" t="s">
        <v>7</v>
      </c>
      <c r="B20" s="61" t="s">
        <v>358</v>
      </c>
      <c r="C20" s="61" t="s">
        <v>105</v>
      </c>
      <c r="D20" s="61" t="s">
        <v>367</v>
      </c>
      <c r="E20" s="61" t="s">
        <v>368</v>
      </c>
      <c r="F20" s="61" t="s">
        <v>369</v>
      </c>
      <c r="G20" s="61" t="s">
        <v>370</v>
      </c>
      <c r="I20" s="63" t="s">
        <v>133</v>
      </c>
      <c r="J20" s="61" t="str">
        <f t="shared" si="0"/>
        <v>CEA12-MEC-ELC</v>
      </c>
      <c r="K20" s="122" t="s">
        <v>226</v>
      </c>
      <c r="L20" s="122" t="s">
        <v>223</v>
      </c>
      <c r="M20" s="122" t="s">
        <v>224</v>
      </c>
      <c r="N20" s="61">
        <v>12001</v>
      </c>
      <c r="O20" s="61" t="s">
        <v>209</v>
      </c>
      <c r="P20" s="61" t="s">
        <v>208</v>
      </c>
      <c r="Q20" s="61" t="s">
        <v>210</v>
      </c>
    </row>
    <row r="21" spans="1:17" x14ac:dyDescent="0.25">
      <c r="A21" s="61" t="s">
        <v>7</v>
      </c>
      <c r="B21" s="61" t="s">
        <v>359</v>
      </c>
      <c r="C21" s="61" t="s">
        <v>105</v>
      </c>
      <c r="D21" s="61" t="s">
        <v>367</v>
      </c>
      <c r="E21" s="61" t="s">
        <v>368</v>
      </c>
      <c r="F21" s="61" t="s">
        <v>369</v>
      </c>
      <c r="G21" s="61" t="s">
        <v>370</v>
      </c>
      <c r="I21" s="63" t="s">
        <v>134</v>
      </c>
      <c r="J21" s="61" t="str">
        <f t="shared" si="0"/>
        <v>CEA12--ELC</v>
      </c>
      <c r="K21" s="122" t="s">
        <v>226</v>
      </c>
      <c r="M21" s="122" t="s">
        <v>224</v>
      </c>
      <c r="N21" s="61">
        <v>12001</v>
      </c>
      <c r="O21" s="61" t="s">
        <v>209</v>
      </c>
      <c r="P21" s="61" t="s">
        <v>208</v>
      </c>
      <c r="Q21" s="61" t="s">
        <v>210</v>
      </c>
    </row>
    <row r="22" spans="1:17" x14ac:dyDescent="0.25">
      <c r="A22" s="61" t="s">
        <v>7</v>
      </c>
      <c r="B22" s="61" t="s">
        <v>360</v>
      </c>
      <c r="C22" s="61" t="s">
        <v>105</v>
      </c>
      <c r="D22" s="61" t="s">
        <v>367</v>
      </c>
      <c r="E22" s="61" t="s">
        <v>368</v>
      </c>
      <c r="F22" s="61" t="s">
        <v>369</v>
      </c>
      <c r="G22" s="61" t="s">
        <v>370</v>
      </c>
      <c r="I22" s="63" t="s">
        <v>133</v>
      </c>
      <c r="J22" s="61" t="str">
        <f t="shared" si="0"/>
        <v>CEA1-MEC-ELC</v>
      </c>
      <c r="K22" s="122" t="s">
        <v>227</v>
      </c>
      <c r="L22" s="122" t="s">
        <v>223</v>
      </c>
      <c r="M22" s="122" t="s">
        <v>224</v>
      </c>
      <c r="N22" s="61">
        <v>12001</v>
      </c>
      <c r="O22" s="61" t="s">
        <v>209</v>
      </c>
      <c r="P22" s="61" t="s">
        <v>208</v>
      </c>
      <c r="Q22" s="61" t="s">
        <v>210</v>
      </c>
    </row>
    <row r="23" spans="1:17" x14ac:dyDescent="0.25">
      <c r="A23" s="61" t="s">
        <v>7</v>
      </c>
      <c r="B23" s="61" t="s">
        <v>361</v>
      </c>
      <c r="C23" s="61" t="s">
        <v>105</v>
      </c>
      <c r="D23" s="61" t="s">
        <v>367</v>
      </c>
      <c r="E23" s="61" t="s">
        <v>368</v>
      </c>
      <c r="F23" s="61" t="s">
        <v>369</v>
      </c>
      <c r="G23" s="61" t="s">
        <v>370</v>
      </c>
      <c r="I23" s="63" t="s">
        <v>135</v>
      </c>
      <c r="J23" s="61" t="str">
        <f t="shared" si="0"/>
        <v>CEA12-MEC-ELC</v>
      </c>
      <c r="K23" s="122" t="s">
        <v>226</v>
      </c>
      <c r="L23" s="122" t="s">
        <v>223</v>
      </c>
      <c r="M23" s="122" t="s">
        <v>224</v>
      </c>
      <c r="N23" s="61">
        <v>12001</v>
      </c>
      <c r="O23" s="61" t="s">
        <v>209</v>
      </c>
      <c r="P23" s="61" t="s">
        <v>208</v>
      </c>
      <c r="Q23" s="61" t="s">
        <v>210</v>
      </c>
    </row>
    <row r="24" spans="1:17" x14ac:dyDescent="0.25">
      <c r="A24" s="61" t="s">
        <v>7</v>
      </c>
      <c r="B24" s="61" t="s">
        <v>362</v>
      </c>
      <c r="C24" s="61" t="s">
        <v>105</v>
      </c>
      <c r="D24" s="61" t="s">
        <v>367</v>
      </c>
      <c r="E24" s="61" t="s">
        <v>368</v>
      </c>
      <c r="F24" s="61" t="s">
        <v>369</v>
      </c>
      <c r="G24" s="61" t="s">
        <v>370</v>
      </c>
      <c r="I24" s="63" t="s">
        <v>134</v>
      </c>
      <c r="J24" s="61" t="str">
        <f t="shared" si="0"/>
        <v>CEA12--ELC</v>
      </c>
      <c r="K24" s="122" t="s">
        <v>226</v>
      </c>
      <c r="M24" s="122" t="s">
        <v>224</v>
      </c>
      <c r="N24" s="61">
        <v>12001</v>
      </c>
      <c r="O24" s="61" t="s">
        <v>209</v>
      </c>
      <c r="P24" s="61" t="s">
        <v>208</v>
      </c>
      <c r="Q24" s="61" t="s">
        <v>210</v>
      </c>
    </row>
    <row r="25" spans="1:17" x14ac:dyDescent="0.25">
      <c r="A25" s="61" t="s">
        <v>7</v>
      </c>
      <c r="B25" s="61" t="s">
        <v>363</v>
      </c>
      <c r="C25" s="61" t="s">
        <v>105</v>
      </c>
      <c r="D25" s="61" t="s">
        <v>367</v>
      </c>
      <c r="E25" s="61" t="s">
        <v>368</v>
      </c>
      <c r="F25" s="61" t="s">
        <v>369</v>
      </c>
      <c r="G25" s="61" t="s">
        <v>370</v>
      </c>
      <c r="I25" s="63" t="s">
        <v>136</v>
      </c>
      <c r="J25" s="61" t="str">
        <f t="shared" si="0"/>
        <v>-MEC-ELC</v>
      </c>
      <c r="L25" s="122" t="s">
        <v>223</v>
      </c>
      <c r="M25" s="122" t="s">
        <v>224</v>
      </c>
      <c r="N25" s="61">
        <v>12001</v>
      </c>
      <c r="O25" s="61" t="s">
        <v>209</v>
      </c>
      <c r="P25" s="61" t="s">
        <v>208</v>
      </c>
      <c r="Q25" s="61" t="s">
        <v>210</v>
      </c>
    </row>
    <row r="26" spans="1:17" x14ac:dyDescent="0.25">
      <c r="A26" s="61" t="s">
        <v>7</v>
      </c>
      <c r="B26" s="61" t="s">
        <v>364</v>
      </c>
      <c r="C26" s="61" t="s">
        <v>105</v>
      </c>
      <c r="D26" s="61" t="s">
        <v>367</v>
      </c>
      <c r="E26" s="61" t="s">
        <v>368</v>
      </c>
      <c r="F26" s="61" t="s">
        <v>369</v>
      </c>
      <c r="G26" s="61" t="s">
        <v>370</v>
      </c>
      <c r="I26" s="63" t="s">
        <v>137</v>
      </c>
      <c r="J26" s="61" t="str">
        <f t="shared" si="0"/>
        <v>-MEC-</v>
      </c>
      <c r="L26" s="122" t="s">
        <v>223</v>
      </c>
      <c r="N26" s="61">
        <v>12001</v>
      </c>
      <c r="O26" s="61" t="s">
        <v>209</v>
      </c>
      <c r="P26" s="61" t="s">
        <v>208</v>
      </c>
      <c r="Q26" s="61" t="s">
        <v>210</v>
      </c>
    </row>
    <row r="27" spans="1:17" x14ac:dyDescent="0.25">
      <c r="A27" s="61" t="s">
        <v>7</v>
      </c>
      <c r="B27" s="61" t="s">
        <v>365</v>
      </c>
      <c r="C27" s="61" t="s">
        <v>105</v>
      </c>
      <c r="D27" s="61" t="s">
        <v>367</v>
      </c>
      <c r="E27" s="61" t="s">
        <v>368</v>
      </c>
      <c r="F27" s="61" t="s">
        <v>369</v>
      </c>
      <c r="G27" s="61" t="s">
        <v>370</v>
      </c>
      <c r="I27" s="63" t="s">
        <v>113</v>
      </c>
      <c r="J27" s="61" t="str">
        <f t="shared" si="0"/>
        <v>-MEC-</v>
      </c>
      <c r="L27" s="122" t="s">
        <v>223</v>
      </c>
      <c r="N27" s="61">
        <v>12001</v>
      </c>
      <c r="O27" s="61" t="s">
        <v>209</v>
      </c>
      <c r="P27" s="61" t="s">
        <v>208</v>
      </c>
      <c r="Q27" s="61" t="s">
        <v>210</v>
      </c>
    </row>
  </sheetData>
  <sheetProtection insertRows="0" deleteRows="0" autoFilter="0"/>
  <autoFilter ref="A1:U27" xr:uid="{6F273E78-D54F-434E-A43A-FF8C264097E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</sheetPr>
  <dimension ref="A1:J232"/>
  <sheetViews>
    <sheetView view="pageBreakPreview" zoomScale="70" zoomScaleNormal="40" zoomScaleSheetLayoutView="70" workbookViewId="0">
      <selection activeCell="A232" sqref="A232:C232"/>
    </sheetView>
  </sheetViews>
  <sheetFormatPr defaultColWidth="11.42578125" defaultRowHeight="15" x14ac:dyDescent="0.25"/>
  <cols>
    <col min="1" max="1" width="33.7109375" customWidth="1"/>
    <col min="2" max="2" width="32.7109375" customWidth="1"/>
    <col min="3" max="6" width="22.7109375" customWidth="1"/>
    <col min="7" max="7" width="21.85546875" customWidth="1"/>
    <col min="8" max="8" width="42.7109375" customWidth="1"/>
    <col min="9" max="10" width="22.7109375" customWidth="1"/>
  </cols>
  <sheetData>
    <row r="1" spans="1:10" ht="53.25" customHeight="1" x14ac:dyDescent="0.25">
      <c r="A1" s="96"/>
      <c r="B1" s="95"/>
      <c r="C1" s="225" t="s">
        <v>340</v>
      </c>
      <c r="D1" s="225"/>
      <c r="E1" s="225"/>
      <c r="F1" s="225"/>
      <c r="G1" s="115" t="s">
        <v>152</v>
      </c>
      <c r="H1" s="119" t="s">
        <v>26</v>
      </c>
      <c r="I1" s="99" t="s">
        <v>144</v>
      </c>
      <c r="J1" s="116" t="s">
        <v>104</v>
      </c>
    </row>
    <row r="2" spans="1:10" ht="39" customHeight="1" x14ac:dyDescent="0.25">
      <c r="A2" s="94"/>
      <c r="B2" s="93"/>
      <c r="C2" s="226" t="s">
        <v>341</v>
      </c>
      <c r="D2" s="226"/>
      <c r="E2" s="226"/>
      <c r="F2" s="226"/>
      <c r="G2" s="117" t="s">
        <v>118</v>
      </c>
      <c r="H2" s="227" t="s">
        <v>369</v>
      </c>
      <c r="I2" s="227"/>
      <c r="J2" s="228"/>
    </row>
    <row r="3" spans="1:10" ht="45.95" customHeight="1" x14ac:dyDescent="0.25">
      <c r="A3" s="94"/>
      <c r="B3" s="93"/>
      <c r="C3" s="226" t="s">
        <v>117</v>
      </c>
      <c r="D3" s="226"/>
      <c r="E3" s="226"/>
      <c r="F3" s="226"/>
      <c r="G3" s="118" t="s">
        <v>116</v>
      </c>
      <c r="H3" s="229" t="s">
        <v>370</v>
      </c>
      <c r="I3" s="229"/>
      <c r="J3" s="230"/>
    </row>
    <row r="4" spans="1:10" ht="17.25" thickBot="1" x14ac:dyDescent="0.3">
      <c r="A4" s="92"/>
      <c r="B4" s="91"/>
      <c r="C4" s="91"/>
      <c r="D4" s="91"/>
      <c r="E4" s="220"/>
      <c r="F4" s="220"/>
      <c r="G4" s="84"/>
      <c r="H4" s="84"/>
      <c r="I4" s="91"/>
      <c r="J4" s="90"/>
    </row>
    <row r="5" spans="1:10" ht="25.5" x14ac:dyDescent="0.25">
      <c r="A5" s="86"/>
      <c r="B5" s="85"/>
      <c r="C5" s="85"/>
      <c r="D5" s="85"/>
      <c r="E5" s="88"/>
      <c r="F5" s="88"/>
      <c r="G5" s="88"/>
      <c r="H5" s="88"/>
      <c r="I5" s="85"/>
      <c r="J5" s="87"/>
    </row>
    <row r="6" spans="1:10" ht="25.5" x14ac:dyDescent="0.25">
      <c r="A6" s="86"/>
      <c r="B6" s="85"/>
      <c r="C6" s="85"/>
      <c r="D6" s="85"/>
      <c r="E6" s="88"/>
      <c r="F6" s="88"/>
      <c r="G6" s="88"/>
      <c r="H6" s="88"/>
      <c r="I6" s="85"/>
      <c r="J6" s="87"/>
    </row>
    <row r="7" spans="1:10" ht="25.5" x14ac:dyDescent="0.25">
      <c r="A7" s="86"/>
      <c r="B7" s="85"/>
      <c r="C7" s="85"/>
      <c r="D7" s="85"/>
      <c r="E7" s="88"/>
      <c r="F7" s="88"/>
      <c r="G7" s="88"/>
      <c r="H7" s="88"/>
      <c r="I7" s="85"/>
      <c r="J7" s="87"/>
    </row>
    <row r="8" spans="1:10" ht="25.5" x14ac:dyDescent="0.25">
      <c r="A8" s="86"/>
      <c r="B8" s="85"/>
      <c r="C8" s="85"/>
      <c r="D8" s="85"/>
      <c r="E8" s="88"/>
      <c r="F8" s="88"/>
      <c r="G8" s="88"/>
      <c r="H8" s="88"/>
      <c r="I8" s="85"/>
      <c r="J8" s="87"/>
    </row>
    <row r="9" spans="1:10" ht="25.5" x14ac:dyDescent="0.25">
      <c r="A9" s="86"/>
      <c r="B9" s="85"/>
      <c r="C9" s="85"/>
      <c r="D9" s="85"/>
      <c r="E9" s="88"/>
      <c r="F9" s="88"/>
      <c r="G9" s="88"/>
      <c r="H9" s="88"/>
      <c r="I9" s="85"/>
      <c r="J9" s="87"/>
    </row>
    <row r="10" spans="1:10" ht="25.5" x14ac:dyDescent="0.25">
      <c r="A10" s="86"/>
      <c r="B10" s="85"/>
      <c r="C10" s="85"/>
      <c r="D10" s="85"/>
      <c r="E10" s="88"/>
      <c r="F10" s="88"/>
      <c r="G10" s="88"/>
      <c r="H10" s="88"/>
      <c r="I10" s="85"/>
      <c r="J10" s="87"/>
    </row>
    <row r="11" spans="1:10" ht="25.5" x14ac:dyDescent="0.25">
      <c r="A11" s="86"/>
      <c r="B11" s="85"/>
      <c r="C11" s="85"/>
      <c r="D11" s="85"/>
      <c r="E11" s="88"/>
      <c r="F11" s="88"/>
      <c r="G11" s="88"/>
      <c r="H11" s="88"/>
      <c r="I11" s="85"/>
      <c r="J11" s="87"/>
    </row>
    <row r="12" spans="1:10" ht="25.5" x14ac:dyDescent="0.25">
      <c r="A12" s="86"/>
      <c r="B12" s="85"/>
      <c r="C12" s="85"/>
      <c r="D12" s="85"/>
      <c r="E12" s="88"/>
      <c r="F12" s="88"/>
      <c r="G12" s="88"/>
      <c r="H12" s="88"/>
      <c r="I12" s="85"/>
      <c r="J12" s="87"/>
    </row>
    <row r="13" spans="1:10" ht="25.5" x14ac:dyDescent="0.25">
      <c r="A13" s="86"/>
      <c r="B13" s="85"/>
      <c r="C13" s="85"/>
      <c r="D13" s="85"/>
      <c r="E13" s="88"/>
      <c r="F13" s="88"/>
      <c r="G13" s="88"/>
      <c r="H13" s="88"/>
      <c r="I13" s="85"/>
      <c r="J13" s="89"/>
    </row>
    <row r="14" spans="1:10" ht="25.5" x14ac:dyDescent="0.25">
      <c r="A14" s="86"/>
      <c r="B14" s="85"/>
      <c r="C14" s="85"/>
      <c r="D14" s="85"/>
      <c r="E14" s="88"/>
      <c r="F14" s="88"/>
      <c r="G14" s="88"/>
      <c r="H14" s="88"/>
      <c r="I14" s="85"/>
      <c r="J14" s="89"/>
    </row>
    <row r="15" spans="1:10" ht="25.5" x14ac:dyDescent="0.25">
      <c r="A15" s="86"/>
      <c r="B15" s="85"/>
      <c r="C15" s="85"/>
      <c r="D15" s="85"/>
      <c r="E15" s="88"/>
      <c r="F15" s="88"/>
      <c r="G15" s="88"/>
      <c r="H15" s="88"/>
      <c r="I15" s="85"/>
      <c r="J15" s="89"/>
    </row>
    <row r="16" spans="1:10" ht="25.5" x14ac:dyDescent="0.25">
      <c r="A16" s="86"/>
      <c r="B16" s="85"/>
      <c r="C16" s="85"/>
      <c r="D16" s="85"/>
      <c r="E16" s="88"/>
      <c r="F16" s="88"/>
      <c r="G16" s="88"/>
      <c r="H16" s="88"/>
      <c r="I16" s="85"/>
      <c r="J16" s="89"/>
    </row>
    <row r="17" spans="1:10" ht="25.5" x14ac:dyDescent="0.25">
      <c r="A17" s="86"/>
      <c r="B17" s="85"/>
      <c r="C17" s="85"/>
      <c r="D17" s="85"/>
      <c r="E17" s="88"/>
      <c r="F17" s="88"/>
      <c r="G17" s="88"/>
      <c r="H17" s="88"/>
      <c r="I17" s="85"/>
      <c r="J17" s="89"/>
    </row>
    <row r="18" spans="1:10" ht="25.5" x14ac:dyDescent="0.25">
      <c r="A18" s="86"/>
      <c r="B18" s="85"/>
      <c r="C18" s="85"/>
      <c r="D18" s="85"/>
      <c r="E18" s="88"/>
      <c r="F18" s="88"/>
      <c r="G18" s="88"/>
      <c r="H18" s="88"/>
      <c r="I18" s="85"/>
      <c r="J18" s="89"/>
    </row>
    <row r="19" spans="1:10" ht="25.5" x14ac:dyDescent="0.25">
      <c r="A19" s="86"/>
      <c r="B19" s="85"/>
      <c r="C19" s="85"/>
      <c r="D19" s="85"/>
      <c r="E19" s="88"/>
      <c r="F19" s="88"/>
      <c r="G19" s="88"/>
      <c r="H19" s="88"/>
      <c r="I19" s="85"/>
      <c r="J19" s="89"/>
    </row>
    <row r="20" spans="1:10" ht="25.5" x14ac:dyDescent="0.25">
      <c r="A20" s="86"/>
      <c r="B20" s="85"/>
      <c r="C20" s="85"/>
      <c r="D20" s="85"/>
      <c r="E20" s="88"/>
      <c r="F20" s="88"/>
      <c r="G20" s="88"/>
      <c r="H20" s="88"/>
      <c r="I20" s="85"/>
      <c r="J20" s="87"/>
    </row>
    <row r="21" spans="1:10" ht="26.25" thickBot="1" x14ac:dyDescent="0.3">
      <c r="A21" s="86"/>
      <c r="B21" s="85"/>
      <c r="C21" s="85"/>
      <c r="D21" s="85"/>
      <c r="E21" s="88"/>
      <c r="F21" s="88"/>
      <c r="G21" s="88"/>
      <c r="H21" s="88"/>
      <c r="I21" s="85"/>
      <c r="J21" s="87"/>
    </row>
    <row r="22" spans="1:10" s="103" customFormat="1" ht="80.25" customHeight="1" thickBot="1" x14ac:dyDescent="0.35">
      <c r="A22" s="221" t="s">
        <v>145</v>
      </c>
      <c r="B22" s="222"/>
      <c r="C22" s="100" t="s">
        <v>149</v>
      </c>
      <c r="D22" s="101" t="s">
        <v>151</v>
      </c>
      <c r="E22" s="101" t="s">
        <v>139</v>
      </c>
      <c r="F22" s="101" t="s">
        <v>146</v>
      </c>
      <c r="G22" s="223" t="s">
        <v>147</v>
      </c>
      <c r="H22" s="224"/>
      <c r="I22" s="109" t="s">
        <v>140</v>
      </c>
      <c r="J22" s="102" t="s">
        <v>148</v>
      </c>
    </row>
    <row r="23" spans="1:10" s="104" customFormat="1" ht="112.5" customHeight="1" x14ac:dyDescent="0.35">
      <c r="A23" s="237"/>
      <c r="B23" s="238"/>
      <c r="C23" s="239"/>
      <c r="D23" s="239"/>
      <c r="E23" s="235"/>
      <c r="F23" s="110"/>
      <c r="G23" s="216"/>
      <c r="H23" s="217"/>
      <c r="I23" s="231"/>
      <c r="J23" s="233"/>
    </row>
    <row r="24" spans="1:10" s="104" customFormat="1" ht="112.5" customHeight="1" x14ac:dyDescent="0.35">
      <c r="A24" s="187"/>
      <c r="B24" s="188"/>
      <c r="C24" s="240"/>
      <c r="D24" s="240"/>
      <c r="E24" s="236"/>
      <c r="F24" s="111"/>
      <c r="G24" s="218"/>
      <c r="H24" s="219"/>
      <c r="I24" s="232"/>
      <c r="J24" s="234"/>
    </row>
    <row r="25" spans="1:10" s="104" customFormat="1" ht="112.5" customHeight="1" x14ac:dyDescent="0.35">
      <c r="A25" s="215"/>
      <c r="B25" s="190"/>
      <c r="C25" s="191"/>
      <c r="D25" s="191"/>
      <c r="E25" s="192"/>
      <c r="F25" s="112"/>
      <c r="G25" s="181"/>
      <c r="H25" s="182"/>
      <c r="I25" s="185"/>
      <c r="J25" s="186"/>
    </row>
    <row r="26" spans="1:10" s="104" customFormat="1" ht="112.5" customHeight="1" x14ac:dyDescent="0.35">
      <c r="A26" s="187"/>
      <c r="B26" s="188"/>
      <c r="C26" s="191"/>
      <c r="D26" s="191"/>
      <c r="E26" s="192"/>
      <c r="F26" s="111"/>
      <c r="G26" s="183"/>
      <c r="H26" s="184"/>
      <c r="I26" s="185"/>
      <c r="J26" s="186"/>
    </row>
    <row r="27" spans="1:10" s="104" customFormat="1" ht="112.5" customHeight="1" x14ac:dyDescent="0.35">
      <c r="A27" s="215"/>
      <c r="B27" s="190"/>
      <c r="C27" s="191"/>
      <c r="D27" s="191"/>
      <c r="E27" s="192"/>
      <c r="F27" s="112"/>
      <c r="G27" s="181"/>
      <c r="H27" s="182"/>
      <c r="I27" s="185"/>
      <c r="J27" s="186"/>
    </row>
    <row r="28" spans="1:10" s="104" customFormat="1" ht="112.5" customHeight="1" x14ac:dyDescent="0.35">
      <c r="A28" s="187"/>
      <c r="B28" s="188"/>
      <c r="C28" s="191"/>
      <c r="D28" s="191"/>
      <c r="E28" s="192"/>
      <c r="F28" s="111"/>
      <c r="G28" s="183"/>
      <c r="H28" s="184"/>
      <c r="I28" s="185"/>
      <c r="J28" s="186"/>
    </row>
    <row r="29" spans="1:10" s="104" customFormat="1" ht="112.5" customHeight="1" x14ac:dyDescent="0.35">
      <c r="A29" s="193"/>
      <c r="B29" s="190"/>
      <c r="C29" s="191"/>
      <c r="D29" s="191"/>
      <c r="E29" s="192"/>
      <c r="F29" s="112"/>
      <c r="G29" s="181"/>
      <c r="H29" s="182"/>
      <c r="I29" s="185"/>
      <c r="J29" s="186"/>
    </row>
    <row r="30" spans="1:10" s="104" customFormat="1" ht="112.5" customHeight="1" x14ac:dyDescent="0.35">
      <c r="A30" s="187"/>
      <c r="B30" s="188"/>
      <c r="C30" s="191"/>
      <c r="D30" s="191"/>
      <c r="E30" s="192"/>
      <c r="F30" s="111"/>
      <c r="G30" s="183"/>
      <c r="H30" s="184"/>
      <c r="I30" s="185"/>
      <c r="J30" s="186"/>
    </row>
    <row r="31" spans="1:10" s="104" customFormat="1" ht="112.5" customHeight="1" x14ac:dyDescent="0.35">
      <c r="A31" s="215"/>
      <c r="B31" s="190"/>
      <c r="C31" s="191"/>
      <c r="D31" s="191"/>
      <c r="E31" s="192"/>
      <c r="F31" s="112"/>
      <c r="G31" s="181"/>
      <c r="H31" s="182"/>
      <c r="I31" s="185"/>
      <c r="J31" s="186"/>
    </row>
    <row r="32" spans="1:10" s="104" customFormat="1" ht="112.5" customHeight="1" x14ac:dyDescent="0.35">
      <c r="A32" s="187"/>
      <c r="B32" s="188"/>
      <c r="C32" s="191"/>
      <c r="D32" s="191"/>
      <c r="E32" s="192"/>
      <c r="F32" s="111"/>
      <c r="G32" s="183"/>
      <c r="H32" s="184"/>
      <c r="I32" s="185"/>
      <c r="J32" s="186"/>
    </row>
    <row r="33" spans="1:10" s="104" customFormat="1" ht="112.5" customHeight="1" x14ac:dyDescent="0.35">
      <c r="A33" s="193"/>
      <c r="B33" s="190"/>
      <c r="C33" s="191"/>
      <c r="D33" s="191"/>
      <c r="E33" s="192"/>
      <c r="F33" s="112"/>
      <c r="G33" s="181"/>
      <c r="H33" s="182"/>
      <c r="I33" s="185"/>
      <c r="J33" s="186"/>
    </row>
    <row r="34" spans="1:10" s="104" customFormat="1" ht="112.5" customHeight="1" x14ac:dyDescent="0.35">
      <c r="A34" s="187"/>
      <c r="B34" s="188"/>
      <c r="C34" s="191"/>
      <c r="D34" s="191"/>
      <c r="E34" s="192"/>
      <c r="F34" s="111"/>
      <c r="G34" s="183"/>
      <c r="H34" s="184"/>
      <c r="I34" s="185"/>
      <c r="J34" s="186"/>
    </row>
    <row r="35" spans="1:10" s="104" customFormat="1" ht="112.5" customHeight="1" x14ac:dyDescent="0.35">
      <c r="A35" s="193"/>
      <c r="B35" s="190"/>
      <c r="C35" s="191"/>
      <c r="D35" s="191"/>
      <c r="E35" s="192"/>
      <c r="F35" s="112"/>
      <c r="G35" s="181"/>
      <c r="H35" s="182"/>
      <c r="I35" s="185"/>
      <c r="J35" s="186"/>
    </row>
    <row r="36" spans="1:10" s="104" customFormat="1" ht="112.5" customHeight="1" x14ac:dyDescent="0.35">
      <c r="A36" s="187"/>
      <c r="B36" s="188"/>
      <c r="C36" s="191"/>
      <c r="D36" s="191"/>
      <c r="E36" s="192"/>
      <c r="F36" s="111"/>
      <c r="G36" s="183"/>
      <c r="H36" s="184"/>
      <c r="I36" s="185"/>
      <c r="J36" s="186"/>
    </row>
    <row r="37" spans="1:10" s="104" customFormat="1" ht="112.5" customHeight="1" x14ac:dyDescent="0.35">
      <c r="A37" s="193"/>
      <c r="B37" s="190"/>
      <c r="C37" s="191"/>
      <c r="D37" s="191"/>
      <c r="E37" s="192"/>
      <c r="F37" s="112"/>
      <c r="G37" s="181"/>
      <c r="H37" s="182"/>
      <c r="I37" s="185"/>
      <c r="J37" s="186"/>
    </row>
    <row r="38" spans="1:10" s="104" customFormat="1" ht="112.5" customHeight="1" x14ac:dyDescent="0.35">
      <c r="A38" s="187"/>
      <c r="B38" s="188"/>
      <c r="C38" s="191"/>
      <c r="D38" s="191"/>
      <c r="E38" s="192"/>
      <c r="F38" s="111"/>
      <c r="G38" s="183"/>
      <c r="H38" s="184"/>
      <c r="I38" s="185"/>
      <c r="J38" s="186"/>
    </row>
    <row r="39" spans="1:10" s="104" customFormat="1" ht="112.5" customHeight="1" x14ac:dyDescent="0.35">
      <c r="A39" s="193"/>
      <c r="B39" s="190"/>
      <c r="C39" s="191"/>
      <c r="D39" s="191"/>
      <c r="E39" s="192"/>
      <c r="F39" s="112"/>
      <c r="G39" s="181"/>
      <c r="H39" s="182"/>
      <c r="I39" s="185"/>
      <c r="J39" s="186"/>
    </row>
    <row r="40" spans="1:10" s="104" customFormat="1" ht="112.5" customHeight="1" x14ac:dyDescent="0.35">
      <c r="A40" s="187"/>
      <c r="B40" s="188"/>
      <c r="C40" s="191"/>
      <c r="D40" s="191"/>
      <c r="E40" s="192"/>
      <c r="F40" s="111"/>
      <c r="G40" s="183"/>
      <c r="H40" s="184"/>
      <c r="I40" s="185"/>
      <c r="J40" s="186"/>
    </row>
    <row r="41" spans="1:10" s="104" customFormat="1" ht="112.5" customHeight="1" x14ac:dyDescent="0.35">
      <c r="A41" s="193"/>
      <c r="B41" s="190"/>
      <c r="C41" s="191"/>
      <c r="D41" s="191"/>
      <c r="E41" s="192"/>
      <c r="F41" s="112"/>
      <c r="G41" s="181"/>
      <c r="H41" s="182"/>
      <c r="I41" s="185"/>
      <c r="J41" s="186"/>
    </row>
    <row r="42" spans="1:10" s="104" customFormat="1" ht="112.5" customHeight="1" x14ac:dyDescent="0.35">
      <c r="A42" s="187"/>
      <c r="B42" s="188"/>
      <c r="C42" s="191"/>
      <c r="D42" s="191"/>
      <c r="E42" s="192"/>
      <c r="F42" s="111"/>
      <c r="G42" s="183"/>
      <c r="H42" s="184"/>
      <c r="I42" s="185"/>
      <c r="J42" s="186"/>
    </row>
    <row r="43" spans="1:10" s="104" customFormat="1" ht="112.5" customHeight="1" x14ac:dyDescent="0.35">
      <c r="A43" s="193"/>
      <c r="B43" s="190"/>
      <c r="C43" s="191"/>
      <c r="D43" s="191"/>
      <c r="E43" s="192"/>
      <c r="F43" s="112"/>
      <c r="G43" s="181"/>
      <c r="H43" s="182"/>
      <c r="I43" s="185"/>
      <c r="J43" s="186"/>
    </row>
    <row r="44" spans="1:10" s="104" customFormat="1" ht="112.5" customHeight="1" x14ac:dyDescent="0.35">
      <c r="A44" s="187"/>
      <c r="B44" s="188"/>
      <c r="C44" s="191"/>
      <c r="D44" s="191"/>
      <c r="E44" s="192"/>
      <c r="F44" s="111"/>
      <c r="G44" s="183"/>
      <c r="H44" s="184"/>
      <c r="I44" s="185"/>
      <c r="J44" s="186"/>
    </row>
    <row r="45" spans="1:10" s="104" customFormat="1" ht="112.5" customHeight="1" x14ac:dyDescent="0.35">
      <c r="A45" s="193"/>
      <c r="B45" s="190"/>
      <c r="C45" s="191"/>
      <c r="D45" s="191"/>
      <c r="E45" s="192"/>
      <c r="F45" s="112"/>
      <c r="G45" s="181"/>
      <c r="H45" s="182"/>
      <c r="I45" s="185"/>
      <c r="J45" s="186"/>
    </row>
    <row r="46" spans="1:10" s="104" customFormat="1" ht="112.5" customHeight="1" x14ac:dyDescent="0.35">
      <c r="A46" s="187"/>
      <c r="B46" s="188"/>
      <c r="C46" s="191"/>
      <c r="D46" s="191"/>
      <c r="E46" s="192"/>
      <c r="F46" s="111"/>
      <c r="G46" s="183"/>
      <c r="H46" s="184"/>
      <c r="I46" s="185"/>
      <c r="J46" s="186"/>
    </row>
    <row r="47" spans="1:10" s="104" customFormat="1" ht="112.5" customHeight="1" x14ac:dyDescent="0.35">
      <c r="A47" s="193"/>
      <c r="B47" s="190"/>
      <c r="C47" s="191"/>
      <c r="D47" s="191"/>
      <c r="E47" s="192"/>
      <c r="F47" s="112"/>
      <c r="G47" s="181"/>
      <c r="H47" s="182"/>
      <c r="I47" s="185"/>
      <c r="J47" s="186"/>
    </row>
    <row r="48" spans="1:10" s="104" customFormat="1" ht="112.5" customHeight="1" x14ac:dyDescent="0.35">
      <c r="A48" s="187"/>
      <c r="B48" s="188"/>
      <c r="C48" s="191"/>
      <c r="D48" s="191"/>
      <c r="E48" s="192"/>
      <c r="F48" s="111"/>
      <c r="G48" s="183"/>
      <c r="H48" s="184"/>
      <c r="I48" s="185"/>
      <c r="J48" s="186"/>
    </row>
    <row r="49" spans="1:10" s="104" customFormat="1" ht="112.5" customHeight="1" x14ac:dyDescent="0.35">
      <c r="A49" s="193"/>
      <c r="B49" s="190"/>
      <c r="C49" s="191"/>
      <c r="D49" s="191"/>
      <c r="E49" s="192"/>
      <c r="F49" s="112"/>
      <c r="G49" s="181"/>
      <c r="H49" s="182"/>
      <c r="I49" s="185"/>
      <c r="J49" s="186"/>
    </row>
    <row r="50" spans="1:10" s="104" customFormat="1" ht="112.5" customHeight="1" x14ac:dyDescent="0.35">
      <c r="A50" s="187"/>
      <c r="B50" s="188"/>
      <c r="C50" s="191"/>
      <c r="D50" s="191"/>
      <c r="E50" s="192"/>
      <c r="F50" s="111"/>
      <c r="G50" s="183"/>
      <c r="H50" s="184"/>
      <c r="I50" s="185"/>
      <c r="J50" s="186"/>
    </row>
    <row r="51" spans="1:10" s="104" customFormat="1" ht="112.5" customHeight="1" x14ac:dyDescent="0.35">
      <c r="A51" s="193"/>
      <c r="B51" s="190"/>
      <c r="C51" s="191"/>
      <c r="D51" s="191"/>
      <c r="E51" s="192"/>
      <c r="F51" s="112"/>
      <c r="G51" s="181"/>
      <c r="H51" s="182"/>
      <c r="I51" s="185"/>
      <c r="J51" s="186"/>
    </row>
    <row r="52" spans="1:10" s="104" customFormat="1" ht="112.5" customHeight="1" x14ac:dyDescent="0.35">
      <c r="A52" s="187"/>
      <c r="B52" s="188"/>
      <c r="C52" s="191"/>
      <c r="D52" s="191"/>
      <c r="E52" s="192"/>
      <c r="F52" s="111"/>
      <c r="G52" s="183"/>
      <c r="H52" s="184"/>
      <c r="I52" s="185"/>
      <c r="J52" s="186"/>
    </row>
    <row r="53" spans="1:10" s="104" customFormat="1" ht="112.5" customHeight="1" x14ac:dyDescent="0.35">
      <c r="A53" s="193"/>
      <c r="B53" s="190"/>
      <c r="C53" s="191"/>
      <c r="D53" s="191"/>
      <c r="E53" s="192"/>
      <c r="F53" s="112"/>
      <c r="G53" s="181"/>
      <c r="H53" s="182"/>
      <c r="I53" s="185"/>
      <c r="J53" s="186"/>
    </row>
    <row r="54" spans="1:10" s="104" customFormat="1" ht="112.5" customHeight="1" x14ac:dyDescent="0.35">
      <c r="A54" s="187"/>
      <c r="B54" s="188"/>
      <c r="C54" s="191"/>
      <c r="D54" s="191"/>
      <c r="E54" s="192"/>
      <c r="F54" s="111"/>
      <c r="G54" s="183"/>
      <c r="H54" s="184"/>
      <c r="I54" s="185"/>
      <c r="J54" s="186"/>
    </row>
    <row r="55" spans="1:10" s="104" customFormat="1" ht="112.5" customHeight="1" x14ac:dyDescent="0.35">
      <c r="A55" s="193"/>
      <c r="B55" s="190"/>
      <c r="C55" s="191"/>
      <c r="D55" s="191"/>
      <c r="E55" s="192"/>
      <c r="F55" s="112"/>
      <c r="G55" s="181"/>
      <c r="H55" s="182"/>
      <c r="I55" s="185"/>
      <c r="J55" s="186"/>
    </row>
    <row r="56" spans="1:10" s="104" customFormat="1" ht="112.5" customHeight="1" x14ac:dyDescent="0.35">
      <c r="A56" s="187"/>
      <c r="B56" s="188"/>
      <c r="C56" s="191"/>
      <c r="D56" s="191"/>
      <c r="E56" s="192"/>
      <c r="F56" s="111"/>
      <c r="G56" s="183"/>
      <c r="H56" s="184"/>
      <c r="I56" s="185"/>
      <c r="J56" s="186"/>
    </row>
    <row r="57" spans="1:10" s="104" customFormat="1" ht="112.5" customHeight="1" x14ac:dyDescent="0.35">
      <c r="A57" s="193"/>
      <c r="B57" s="190"/>
      <c r="C57" s="191"/>
      <c r="D57" s="191"/>
      <c r="E57" s="192"/>
      <c r="F57" s="112"/>
      <c r="G57" s="181"/>
      <c r="H57" s="182"/>
      <c r="I57" s="185"/>
      <c r="J57" s="186"/>
    </row>
    <row r="58" spans="1:10" s="104" customFormat="1" ht="112.5" customHeight="1" x14ac:dyDescent="0.35">
      <c r="A58" s="187"/>
      <c r="B58" s="188"/>
      <c r="C58" s="191"/>
      <c r="D58" s="191"/>
      <c r="E58" s="192"/>
      <c r="F58" s="111"/>
      <c r="G58" s="183"/>
      <c r="H58" s="184"/>
      <c r="I58" s="185"/>
      <c r="J58" s="186"/>
    </row>
    <row r="59" spans="1:10" s="104" customFormat="1" ht="112.5" customHeight="1" x14ac:dyDescent="0.35">
      <c r="A59" s="193"/>
      <c r="B59" s="190"/>
      <c r="C59" s="191"/>
      <c r="D59" s="191"/>
      <c r="E59" s="192"/>
      <c r="F59" s="112"/>
      <c r="G59" s="181"/>
      <c r="H59" s="182"/>
      <c r="I59" s="185"/>
      <c r="J59" s="186"/>
    </row>
    <row r="60" spans="1:10" s="104" customFormat="1" ht="112.5" customHeight="1" x14ac:dyDescent="0.35">
      <c r="A60" s="187"/>
      <c r="B60" s="188"/>
      <c r="C60" s="191"/>
      <c r="D60" s="191"/>
      <c r="E60" s="192"/>
      <c r="F60" s="111"/>
      <c r="G60" s="183"/>
      <c r="H60" s="184"/>
      <c r="I60" s="185"/>
      <c r="J60" s="186"/>
    </row>
    <row r="61" spans="1:10" s="104" customFormat="1" ht="112.5" customHeight="1" x14ac:dyDescent="0.35">
      <c r="A61" s="193"/>
      <c r="B61" s="190"/>
      <c r="C61" s="191"/>
      <c r="D61" s="191"/>
      <c r="E61" s="192"/>
      <c r="F61" s="112"/>
      <c r="G61" s="181"/>
      <c r="H61" s="182"/>
      <c r="I61" s="185"/>
      <c r="J61" s="186"/>
    </row>
    <row r="62" spans="1:10" s="104" customFormat="1" ht="112.5" customHeight="1" x14ac:dyDescent="0.35">
      <c r="A62" s="187"/>
      <c r="B62" s="188"/>
      <c r="C62" s="191"/>
      <c r="D62" s="191"/>
      <c r="E62" s="192"/>
      <c r="F62" s="111"/>
      <c r="G62" s="183"/>
      <c r="H62" s="184"/>
      <c r="I62" s="185"/>
      <c r="J62" s="186"/>
    </row>
    <row r="63" spans="1:10" s="104" customFormat="1" ht="112.5" customHeight="1" x14ac:dyDescent="0.35">
      <c r="A63" s="193"/>
      <c r="B63" s="190"/>
      <c r="C63" s="191"/>
      <c r="D63" s="191"/>
      <c r="E63" s="192"/>
      <c r="F63" s="112"/>
      <c r="G63" s="181"/>
      <c r="H63" s="182"/>
      <c r="I63" s="185"/>
      <c r="J63" s="186"/>
    </row>
    <row r="64" spans="1:10" s="104" customFormat="1" ht="112.5" customHeight="1" x14ac:dyDescent="0.35">
      <c r="A64" s="187"/>
      <c r="B64" s="188"/>
      <c r="C64" s="191"/>
      <c r="D64" s="191"/>
      <c r="E64" s="192"/>
      <c r="F64" s="111"/>
      <c r="G64" s="183"/>
      <c r="H64" s="184"/>
      <c r="I64" s="185"/>
      <c r="J64" s="186"/>
    </row>
    <row r="65" spans="1:10" s="104" customFormat="1" ht="112.5" customHeight="1" x14ac:dyDescent="0.35">
      <c r="A65" s="193"/>
      <c r="B65" s="190"/>
      <c r="C65" s="191"/>
      <c r="D65" s="191"/>
      <c r="E65" s="192"/>
      <c r="F65" s="112"/>
      <c r="G65" s="181"/>
      <c r="H65" s="182"/>
      <c r="I65" s="185"/>
      <c r="J65" s="186"/>
    </row>
    <row r="66" spans="1:10" s="104" customFormat="1" ht="112.5" customHeight="1" x14ac:dyDescent="0.35">
      <c r="A66" s="187"/>
      <c r="B66" s="188"/>
      <c r="C66" s="191"/>
      <c r="D66" s="191"/>
      <c r="E66" s="192"/>
      <c r="F66" s="111"/>
      <c r="G66" s="183"/>
      <c r="H66" s="184"/>
      <c r="I66" s="185"/>
      <c r="J66" s="186"/>
    </row>
    <row r="67" spans="1:10" s="104" customFormat="1" ht="112.5" customHeight="1" x14ac:dyDescent="0.35">
      <c r="A67" s="193"/>
      <c r="B67" s="190"/>
      <c r="C67" s="191"/>
      <c r="D67" s="191"/>
      <c r="E67" s="192"/>
      <c r="F67" s="112"/>
      <c r="G67" s="181"/>
      <c r="H67" s="182"/>
      <c r="I67" s="185"/>
      <c r="J67" s="186"/>
    </row>
    <row r="68" spans="1:10" s="104" customFormat="1" ht="112.5" customHeight="1" x14ac:dyDescent="0.35">
      <c r="A68" s="187"/>
      <c r="B68" s="188"/>
      <c r="C68" s="191"/>
      <c r="D68" s="191"/>
      <c r="E68" s="192"/>
      <c r="F68" s="111"/>
      <c r="G68" s="183"/>
      <c r="H68" s="184"/>
      <c r="I68" s="185"/>
      <c r="J68" s="186"/>
    </row>
    <row r="69" spans="1:10" s="104" customFormat="1" ht="112.5" customHeight="1" x14ac:dyDescent="0.35">
      <c r="A69" s="193"/>
      <c r="B69" s="190"/>
      <c r="C69" s="191"/>
      <c r="D69" s="191"/>
      <c r="E69" s="192"/>
      <c r="F69" s="112"/>
      <c r="G69" s="181"/>
      <c r="H69" s="182"/>
      <c r="I69" s="185"/>
      <c r="J69" s="186"/>
    </row>
    <row r="70" spans="1:10" s="104" customFormat="1" ht="112.5" customHeight="1" x14ac:dyDescent="0.35">
      <c r="A70" s="187"/>
      <c r="B70" s="188"/>
      <c r="C70" s="191"/>
      <c r="D70" s="191"/>
      <c r="E70" s="192"/>
      <c r="F70" s="111"/>
      <c r="G70" s="183"/>
      <c r="H70" s="184"/>
      <c r="I70" s="185"/>
      <c r="J70" s="186"/>
    </row>
    <row r="71" spans="1:10" s="104" customFormat="1" ht="112.5" customHeight="1" x14ac:dyDescent="0.35">
      <c r="A71" s="193"/>
      <c r="B71" s="190"/>
      <c r="C71" s="191"/>
      <c r="D71" s="191"/>
      <c r="E71" s="192"/>
      <c r="F71" s="112"/>
      <c r="G71" s="181"/>
      <c r="H71" s="182"/>
      <c r="I71" s="185"/>
      <c r="J71" s="186"/>
    </row>
    <row r="72" spans="1:10" s="104" customFormat="1" ht="112.5" customHeight="1" x14ac:dyDescent="0.35">
      <c r="A72" s="187"/>
      <c r="B72" s="188"/>
      <c r="C72" s="191"/>
      <c r="D72" s="191"/>
      <c r="E72" s="192"/>
      <c r="F72" s="111"/>
      <c r="G72" s="183"/>
      <c r="H72" s="184"/>
      <c r="I72" s="185"/>
      <c r="J72" s="186"/>
    </row>
    <row r="73" spans="1:10" s="104" customFormat="1" ht="112.5" customHeight="1" x14ac:dyDescent="0.35">
      <c r="A73" s="193"/>
      <c r="B73" s="190"/>
      <c r="C73" s="191"/>
      <c r="D73" s="191"/>
      <c r="E73" s="192"/>
      <c r="F73" s="112"/>
      <c r="G73" s="181"/>
      <c r="H73" s="182"/>
      <c r="I73" s="185"/>
      <c r="J73" s="186"/>
    </row>
    <row r="74" spans="1:10" s="104" customFormat="1" ht="112.5" customHeight="1" x14ac:dyDescent="0.35">
      <c r="A74" s="187"/>
      <c r="B74" s="188"/>
      <c r="C74" s="191"/>
      <c r="D74" s="191"/>
      <c r="E74" s="192"/>
      <c r="F74" s="111"/>
      <c r="G74" s="183"/>
      <c r="H74" s="184"/>
      <c r="I74" s="185"/>
      <c r="J74" s="186"/>
    </row>
    <row r="75" spans="1:10" s="104" customFormat="1" ht="112.5" customHeight="1" x14ac:dyDescent="0.35">
      <c r="A75" s="193"/>
      <c r="B75" s="190"/>
      <c r="C75" s="191"/>
      <c r="D75" s="191"/>
      <c r="E75" s="192"/>
      <c r="F75" s="112"/>
      <c r="G75" s="181"/>
      <c r="H75" s="182"/>
      <c r="I75" s="185"/>
      <c r="J75" s="186"/>
    </row>
    <row r="76" spans="1:10" s="104" customFormat="1" ht="112.5" customHeight="1" x14ac:dyDescent="0.35">
      <c r="A76" s="187"/>
      <c r="B76" s="188"/>
      <c r="C76" s="191"/>
      <c r="D76" s="191"/>
      <c r="E76" s="192"/>
      <c r="F76" s="111"/>
      <c r="G76" s="183"/>
      <c r="H76" s="184"/>
      <c r="I76" s="185"/>
      <c r="J76" s="186"/>
    </row>
    <row r="77" spans="1:10" s="104" customFormat="1" ht="112.5" customHeight="1" x14ac:dyDescent="0.35">
      <c r="A77" s="193"/>
      <c r="B77" s="190"/>
      <c r="C77" s="191"/>
      <c r="D77" s="191"/>
      <c r="E77" s="192"/>
      <c r="F77" s="112"/>
      <c r="G77" s="181"/>
      <c r="H77" s="182"/>
      <c r="I77" s="185"/>
      <c r="J77" s="186"/>
    </row>
    <row r="78" spans="1:10" s="104" customFormat="1" ht="112.5" customHeight="1" x14ac:dyDescent="0.35">
      <c r="A78" s="187"/>
      <c r="B78" s="188"/>
      <c r="C78" s="191"/>
      <c r="D78" s="191"/>
      <c r="E78" s="192"/>
      <c r="F78" s="111"/>
      <c r="G78" s="183"/>
      <c r="H78" s="184"/>
      <c r="I78" s="185"/>
      <c r="J78" s="186"/>
    </row>
    <row r="79" spans="1:10" s="104" customFormat="1" ht="112.5" customHeight="1" x14ac:dyDescent="0.35">
      <c r="A79" s="193"/>
      <c r="B79" s="190"/>
      <c r="C79" s="191"/>
      <c r="D79" s="191"/>
      <c r="E79" s="192"/>
      <c r="F79" s="112"/>
      <c r="G79" s="181"/>
      <c r="H79" s="182"/>
      <c r="I79" s="185"/>
      <c r="J79" s="186"/>
    </row>
    <row r="80" spans="1:10" s="104" customFormat="1" ht="112.5" customHeight="1" x14ac:dyDescent="0.35">
      <c r="A80" s="187"/>
      <c r="B80" s="188"/>
      <c r="C80" s="191"/>
      <c r="D80" s="191"/>
      <c r="E80" s="192"/>
      <c r="F80" s="111"/>
      <c r="G80" s="183"/>
      <c r="H80" s="184"/>
      <c r="I80" s="185"/>
      <c r="J80" s="186"/>
    </row>
    <row r="81" spans="1:10" s="104" customFormat="1" ht="112.5" customHeight="1" x14ac:dyDescent="0.35">
      <c r="A81" s="193"/>
      <c r="B81" s="190"/>
      <c r="C81" s="191"/>
      <c r="D81" s="191"/>
      <c r="E81" s="192"/>
      <c r="F81" s="112"/>
      <c r="G81" s="181"/>
      <c r="H81" s="182"/>
      <c r="I81" s="185"/>
      <c r="J81" s="186"/>
    </row>
    <row r="82" spans="1:10" s="104" customFormat="1" ht="112.5" customHeight="1" x14ac:dyDescent="0.35">
      <c r="A82" s="187"/>
      <c r="B82" s="188"/>
      <c r="C82" s="191"/>
      <c r="D82" s="191"/>
      <c r="E82" s="192"/>
      <c r="F82" s="111"/>
      <c r="G82" s="183"/>
      <c r="H82" s="184"/>
      <c r="I82" s="185"/>
      <c r="J82" s="186"/>
    </row>
    <row r="83" spans="1:10" s="104" customFormat="1" ht="112.5" customHeight="1" x14ac:dyDescent="0.35">
      <c r="A83" s="193"/>
      <c r="B83" s="190"/>
      <c r="C83" s="191"/>
      <c r="D83" s="191"/>
      <c r="E83" s="192"/>
      <c r="F83" s="112"/>
      <c r="G83" s="181"/>
      <c r="H83" s="182"/>
      <c r="I83" s="185"/>
      <c r="J83" s="186"/>
    </row>
    <row r="84" spans="1:10" s="104" customFormat="1" ht="112.5" customHeight="1" x14ac:dyDescent="0.35">
      <c r="A84" s="187"/>
      <c r="B84" s="188"/>
      <c r="C84" s="191"/>
      <c r="D84" s="191"/>
      <c r="E84" s="192"/>
      <c r="F84" s="111"/>
      <c r="G84" s="183"/>
      <c r="H84" s="184"/>
      <c r="I84" s="185"/>
      <c r="J84" s="186"/>
    </row>
    <row r="85" spans="1:10" s="104" customFormat="1" ht="112.5" customHeight="1" x14ac:dyDescent="0.35">
      <c r="A85" s="193"/>
      <c r="B85" s="190"/>
      <c r="C85" s="191"/>
      <c r="D85" s="191"/>
      <c r="E85" s="192"/>
      <c r="F85" s="112"/>
      <c r="G85" s="181"/>
      <c r="H85" s="182"/>
      <c r="I85" s="185"/>
      <c r="J85" s="186"/>
    </row>
    <row r="86" spans="1:10" s="104" customFormat="1" ht="112.5" customHeight="1" x14ac:dyDescent="0.35">
      <c r="A86" s="187"/>
      <c r="B86" s="188"/>
      <c r="C86" s="191"/>
      <c r="D86" s="191"/>
      <c r="E86" s="192"/>
      <c r="F86" s="111"/>
      <c r="G86" s="183"/>
      <c r="H86" s="184"/>
      <c r="I86" s="185"/>
      <c r="J86" s="186"/>
    </row>
    <row r="87" spans="1:10" s="104" customFormat="1" ht="112.5" customHeight="1" x14ac:dyDescent="0.35">
      <c r="A87" s="193"/>
      <c r="B87" s="190"/>
      <c r="C87" s="191"/>
      <c r="D87" s="191"/>
      <c r="E87" s="192"/>
      <c r="F87" s="112"/>
      <c r="G87" s="181"/>
      <c r="H87" s="182"/>
      <c r="I87" s="185"/>
      <c r="J87" s="186"/>
    </row>
    <row r="88" spans="1:10" s="104" customFormat="1" ht="112.5" customHeight="1" x14ac:dyDescent="0.35">
      <c r="A88" s="187"/>
      <c r="B88" s="188"/>
      <c r="C88" s="191"/>
      <c r="D88" s="191"/>
      <c r="E88" s="192"/>
      <c r="F88" s="111"/>
      <c r="G88" s="183"/>
      <c r="H88" s="184"/>
      <c r="I88" s="185"/>
      <c r="J88" s="186"/>
    </row>
    <row r="89" spans="1:10" s="104" customFormat="1" ht="112.5" customHeight="1" x14ac:dyDescent="0.35">
      <c r="A89" s="193"/>
      <c r="B89" s="190"/>
      <c r="C89" s="191"/>
      <c r="D89" s="191"/>
      <c r="E89" s="192"/>
      <c r="F89" s="112"/>
      <c r="G89" s="181"/>
      <c r="H89" s="182"/>
      <c r="I89" s="185"/>
      <c r="J89" s="186"/>
    </row>
    <row r="90" spans="1:10" s="104" customFormat="1" ht="112.5" customHeight="1" x14ac:dyDescent="0.35">
      <c r="A90" s="187"/>
      <c r="B90" s="188"/>
      <c r="C90" s="191"/>
      <c r="D90" s="191"/>
      <c r="E90" s="192"/>
      <c r="F90" s="111"/>
      <c r="G90" s="183"/>
      <c r="H90" s="184"/>
      <c r="I90" s="185"/>
      <c r="J90" s="186"/>
    </row>
    <row r="91" spans="1:10" s="104" customFormat="1" ht="112.5" customHeight="1" x14ac:dyDescent="0.35">
      <c r="A91" s="193"/>
      <c r="B91" s="190"/>
      <c r="C91" s="191"/>
      <c r="D91" s="191"/>
      <c r="E91" s="192"/>
      <c r="F91" s="112"/>
      <c r="G91" s="181"/>
      <c r="H91" s="182"/>
      <c r="I91" s="185"/>
      <c r="J91" s="186"/>
    </row>
    <row r="92" spans="1:10" s="104" customFormat="1" ht="112.5" customHeight="1" x14ac:dyDescent="0.35">
      <c r="A92" s="187"/>
      <c r="B92" s="188"/>
      <c r="C92" s="191"/>
      <c r="D92" s="191"/>
      <c r="E92" s="192"/>
      <c r="F92" s="111"/>
      <c r="G92" s="183"/>
      <c r="H92" s="184"/>
      <c r="I92" s="185"/>
      <c r="J92" s="186"/>
    </row>
    <row r="93" spans="1:10" s="104" customFormat="1" ht="112.5" customHeight="1" x14ac:dyDescent="0.35">
      <c r="A93" s="193"/>
      <c r="B93" s="190"/>
      <c r="C93" s="191"/>
      <c r="D93" s="191"/>
      <c r="E93" s="192"/>
      <c r="F93" s="112"/>
      <c r="G93" s="181"/>
      <c r="H93" s="182"/>
      <c r="I93" s="185"/>
      <c r="J93" s="186"/>
    </row>
    <row r="94" spans="1:10" s="104" customFormat="1" ht="112.5" customHeight="1" x14ac:dyDescent="0.35">
      <c r="A94" s="187"/>
      <c r="B94" s="188"/>
      <c r="C94" s="191"/>
      <c r="D94" s="191"/>
      <c r="E94" s="192"/>
      <c r="F94" s="111"/>
      <c r="G94" s="183"/>
      <c r="H94" s="184"/>
      <c r="I94" s="185"/>
      <c r="J94" s="186"/>
    </row>
    <row r="95" spans="1:10" s="104" customFormat="1" ht="112.5" customHeight="1" x14ac:dyDescent="0.35">
      <c r="A95" s="193"/>
      <c r="B95" s="190"/>
      <c r="C95" s="191"/>
      <c r="D95" s="191"/>
      <c r="E95" s="192"/>
      <c r="F95" s="112"/>
      <c r="G95" s="181"/>
      <c r="H95" s="182"/>
      <c r="I95" s="185"/>
      <c r="J95" s="186"/>
    </row>
    <row r="96" spans="1:10" s="104" customFormat="1" ht="112.5" customHeight="1" x14ac:dyDescent="0.35">
      <c r="A96" s="187"/>
      <c r="B96" s="188"/>
      <c r="C96" s="191"/>
      <c r="D96" s="191"/>
      <c r="E96" s="192"/>
      <c r="F96" s="111"/>
      <c r="G96" s="183"/>
      <c r="H96" s="184"/>
      <c r="I96" s="185"/>
      <c r="J96" s="186"/>
    </row>
    <row r="97" spans="1:10" s="104" customFormat="1" ht="112.5" customHeight="1" x14ac:dyDescent="0.35">
      <c r="A97" s="193"/>
      <c r="B97" s="190"/>
      <c r="C97" s="191"/>
      <c r="D97" s="191"/>
      <c r="E97" s="192"/>
      <c r="F97" s="112"/>
      <c r="G97" s="181"/>
      <c r="H97" s="182"/>
      <c r="I97" s="185"/>
      <c r="J97" s="186"/>
    </row>
    <row r="98" spans="1:10" s="104" customFormat="1" ht="112.5" customHeight="1" x14ac:dyDescent="0.35">
      <c r="A98" s="187"/>
      <c r="B98" s="188"/>
      <c r="C98" s="191"/>
      <c r="D98" s="191"/>
      <c r="E98" s="192"/>
      <c r="F98" s="111"/>
      <c r="G98" s="183"/>
      <c r="H98" s="184"/>
      <c r="I98" s="185"/>
      <c r="J98" s="186"/>
    </row>
    <row r="99" spans="1:10" s="104" customFormat="1" ht="112.5" customHeight="1" x14ac:dyDescent="0.35">
      <c r="A99" s="193"/>
      <c r="B99" s="190"/>
      <c r="C99" s="191"/>
      <c r="D99" s="191"/>
      <c r="E99" s="192"/>
      <c r="F99" s="112"/>
      <c r="G99" s="181"/>
      <c r="H99" s="182"/>
      <c r="I99" s="185"/>
      <c r="J99" s="186"/>
    </row>
    <row r="100" spans="1:10" s="104" customFormat="1" ht="112.5" customHeight="1" x14ac:dyDescent="0.35">
      <c r="A100" s="187"/>
      <c r="B100" s="188"/>
      <c r="C100" s="191"/>
      <c r="D100" s="191"/>
      <c r="E100" s="192"/>
      <c r="F100" s="111"/>
      <c r="G100" s="183"/>
      <c r="H100" s="184"/>
      <c r="I100" s="185"/>
      <c r="J100" s="186"/>
    </row>
    <row r="101" spans="1:10" s="104" customFormat="1" ht="112.5" customHeight="1" x14ac:dyDescent="0.35">
      <c r="A101" s="193"/>
      <c r="B101" s="190"/>
      <c r="C101" s="191"/>
      <c r="D101" s="191"/>
      <c r="E101" s="192"/>
      <c r="F101" s="112"/>
      <c r="G101" s="181"/>
      <c r="H101" s="182"/>
      <c r="I101" s="185"/>
      <c r="J101" s="186"/>
    </row>
    <row r="102" spans="1:10" s="104" customFormat="1" ht="112.5" customHeight="1" x14ac:dyDescent="0.35">
      <c r="A102" s="187"/>
      <c r="B102" s="188"/>
      <c r="C102" s="191"/>
      <c r="D102" s="191"/>
      <c r="E102" s="192"/>
      <c r="F102" s="111"/>
      <c r="G102" s="183"/>
      <c r="H102" s="184"/>
      <c r="I102" s="185"/>
      <c r="J102" s="186"/>
    </row>
    <row r="103" spans="1:10" s="104" customFormat="1" ht="112.5" customHeight="1" x14ac:dyDescent="0.35">
      <c r="A103" s="193"/>
      <c r="B103" s="190"/>
      <c r="C103" s="191"/>
      <c r="D103" s="191"/>
      <c r="E103" s="192"/>
      <c r="F103" s="112"/>
      <c r="G103" s="181"/>
      <c r="H103" s="182"/>
      <c r="I103" s="185"/>
      <c r="J103" s="186"/>
    </row>
    <row r="104" spans="1:10" s="104" customFormat="1" ht="112.5" customHeight="1" x14ac:dyDescent="0.35">
      <c r="A104" s="187"/>
      <c r="B104" s="188"/>
      <c r="C104" s="191"/>
      <c r="D104" s="191"/>
      <c r="E104" s="192"/>
      <c r="F104" s="111"/>
      <c r="G104" s="183"/>
      <c r="H104" s="184"/>
      <c r="I104" s="185"/>
      <c r="J104" s="186"/>
    </row>
    <row r="105" spans="1:10" s="104" customFormat="1" ht="112.5" customHeight="1" x14ac:dyDescent="0.35">
      <c r="A105" s="193"/>
      <c r="B105" s="190"/>
      <c r="C105" s="191"/>
      <c r="D105" s="191"/>
      <c r="E105" s="192"/>
      <c r="F105" s="112"/>
      <c r="G105" s="181"/>
      <c r="H105" s="182"/>
      <c r="I105" s="185"/>
      <c r="J105" s="186"/>
    </row>
    <row r="106" spans="1:10" s="104" customFormat="1" ht="112.5" customHeight="1" x14ac:dyDescent="0.35">
      <c r="A106" s="187"/>
      <c r="B106" s="188"/>
      <c r="C106" s="191"/>
      <c r="D106" s="191"/>
      <c r="E106" s="192"/>
      <c r="F106" s="111"/>
      <c r="G106" s="183"/>
      <c r="H106" s="184"/>
      <c r="I106" s="185"/>
      <c r="J106" s="186"/>
    </row>
    <row r="107" spans="1:10" s="104" customFormat="1" ht="112.5" customHeight="1" x14ac:dyDescent="0.35">
      <c r="A107" s="193"/>
      <c r="B107" s="190"/>
      <c r="C107" s="191"/>
      <c r="D107" s="191"/>
      <c r="E107" s="192"/>
      <c r="F107" s="112"/>
      <c r="G107" s="181"/>
      <c r="H107" s="182"/>
      <c r="I107" s="185"/>
      <c r="J107" s="186"/>
    </row>
    <row r="108" spans="1:10" s="104" customFormat="1" ht="112.5" customHeight="1" x14ac:dyDescent="0.35">
      <c r="A108" s="187"/>
      <c r="B108" s="188"/>
      <c r="C108" s="191"/>
      <c r="D108" s="191"/>
      <c r="E108" s="192"/>
      <c r="F108" s="111"/>
      <c r="G108" s="183"/>
      <c r="H108" s="184"/>
      <c r="I108" s="185"/>
      <c r="J108" s="186"/>
    </row>
    <row r="109" spans="1:10" s="104" customFormat="1" ht="112.5" customHeight="1" x14ac:dyDescent="0.35">
      <c r="A109" s="193"/>
      <c r="B109" s="190"/>
      <c r="C109" s="191"/>
      <c r="D109" s="191"/>
      <c r="E109" s="192"/>
      <c r="F109" s="112"/>
      <c r="G109" s="181"/>
      <c r="H109" s="182"/>
      <c r="I109" s="185"/>
      <c r="J109" s="186"/>
    </row>
    <row r="110" spans="1:10" s="104" customFormat="1" ht="112.5" customHeight="1" x14ac:dyDescent="0.35">
      <c r="A110" s="187"/>
      <c r="B110" s="188"/>
      <c r="C110" s="191"/>
      <c r="D110" s="191"/>
      <c r="E110" s="192"/>
      <c r="F110" s="111"/>
      <c r="G110" s="183"/>
      <c r="H110" s="184"/>
      <c r="I110" s="185"/>
      <c r="J110" s="186"/>
    </row>
    <row r="111" spans="1:10" s="104" customFormat="1" ht="112.5" customHeight="1" x14ac:dyDescent="0.35">
      <c r="A111" s="193"/>
      <c r="B111" s="190"/>
      <c r="C111" s="191"/>
      <c r="D111" s="191"/>
      <c r="E111" s="192"/>
      <c r="F111" s="112"/>
      <c r="G111" s="181"/>
      <c r="H111" s="182"/>
      <c r="I111" s="185"/>
      <c r="J111" s="186"/>
    </row>
    <row r="112" spans="1:10" s="104" customFormat="1" ht="112.5" customHeight="1" x14ac:dyDescent="0.35">
      <c r="A112" s="187"/>
      <c r="B112" s="188"/>
      <c r="C112" s="191"/>
      <c r="D112" s="191"/>
      <c r="E112" s="192"/>
      <c r="F112" s="111"/>
      <c r="G112" s="183"/>
      <c r="H112" s="184"/>
      <c r="I112" s="185"/>
      <c r="J112" s="186"/>
    </row>
    <row r="113" spans="1:10" s="104" customFormat="1" ht="112.5" customHeight="1" x14ac:dyDescent="0.35">
      <c r="A113" s="193"/>
      <c r="B113" s="190"/>
      <c r="C113" s="191"/>
      <c r="D113" s="191"/>
      <c r="E113" s="192"/>
      <c r="F113" s="112"/>
      <c r="G113" s="181"/>
      <c r="H113" s="182"/>
      <c r="I113" s="185"/>
      <c r="J113" s="186"/>
    </row>
    <row r="114" spans="1:10" s="104" customFormat="1" ht="112.5" customHeight="1" x14ac:dyDescent="0.35">
      <c r="A114" s="187"/>
      <c r="B114" s="188"/>
      <c r="C114" s="191"/>
      <c r="D114" s="191"/>
      <c r="E114" s="192"/>
      <c r="F114" s="111"/>
      <c r="G114" s="183"/>
      <c r="H114" s="184"/>
      <c r="I114" s="185"/>
      <c r="J114" s="186"/>
    </row>
    <row r="115" spans="1:10" s="104" customFormat="1" ht="112.5" customHeight="1" x14ac:dyDescent="0.35">
      <c r="A115" s="193"/>
      <c r="B115" s="190"/>
      <c r="C115" s="191"/>
      <c r="D115" s="191"/>
      <c r="E115" s="192"/>
      <c r="F115" s="112"/>
      <c r="G115" s="181"/>
      <c r="H115" s="182"/>
      <c r="I115" s="185"/>
      <c r="J115" s="186"/>
    </row>
    <row r="116" spans="1:10" s="104" customFormat="1" ht="112.5" customHeight="1" x14ac:dyDescent="0.35">
      <c r="A116" s="187"/>
      <c r="B116" s="188"/>
      <c r="C116" s="191"/>
      <c r="D116" s="191"/>
      <c r="E116" s="192"/>
      <c r="F116" s="111"/>
      <c r="G116" s="183"/>
      <c r="H116" s="184"/>
      <c r="I116" s="185"/>
      <c r="J116" s="186"/>
    </row>
    <row r="117" spans="1:10" s="104" customFormat="1" ht="112.5" customHeight="1" x14ac:dyDescent="0.35">
      <c r="A117" s="193"/>
      <c r="B117" s="190"/>
      <c r="C117" s="191"/>
      <c r="D117" s="191"/>
      <c r="E117" s="192"/>
      <c r="F117" s="112"/>
      <c r="G117" s="181"/>
      <c r="H117" s="182"/>
      <c r="I117" s="185"/>
      <c r="J117" s="186"/>
    </row>
    <row r="118" spans="1:10" s="104" customFormat="1" ht="112.5" customHeight="1" x14ac:dyDescent="0.35">
      <c r="A118" s="187"/>
      <c r="B118" s="188"/>
      <c r="C118" s="191"/>
      <c r="D118" s="191"/>
      <c r="E118" s="192"/>
      <c r="F118" s="111"/>
      <c r="G118" s="183"/>
      <c r="H118" s="184"/>
      <c r="I118" s="185"/>
      <c r="J118" s="186"/>
    </row>
    <row r="119" spans="1:10" s="104" customFormat="1" ht="112.5" customHeight="1" x14ac:dyDescent="0.35">
      <c r="A119" s="193"/>
      <c r="B119" s="190"/>
      <c r="C119" s="191"/>
      <c r="D119" s="191"/>
      <c r="E119" s="192"/>
      <c r="F119" s="112"/>
      <c r="G119" s="181"/>
      <c r="H119" s="182"/>
      <c r="I119" s="185"/>
      <c r="J119" s="186"/>
    </row>
    <row r="120" spans="1:10" s="104" customFormat="1" ht="112.5" customHeight="1" x14ac:dyDescent="0.35">
      <c r="A120" s="187"/>
      <c r="B120" s="188"/>
      <c r="C120" s="191"/>
      <c r="D120" s="191"/>
      <c r="E120" s="192"/>
      <c r="F120" s="111"/>
      <c r="G120" s="183"/>
      <c r="H120" s="184"/>
      <c r="I120" s="185"/>
      <c r="J120" s="186"/>
    </row>
    <row r="121" spans="1:10" s="104" customFormat="1" ht="112.5" customHeight="1" x14ac:dyDescent="0.35">
      <c r="A121" s="193"/>
      <c r="B121" s="190"/>
      <c r="C121" s="191"/>
      <c r="D121" s="191"/>
      <c r="E121" s="192"/>
      <c r="F121" s="112"/>
      <c r="G121" s="181"/>
      <c r="H121" s="182"/>
      <c r="I121" s="185"/>
      <c r="J121" s="186"/>
    </row>
    <row r="122" spans="1:10" s="104" customFormat="1" ht="112.5" customHeight="1" x14ac:dyDescent="0.35">
      <c r="A122" s="187"/>
      <c r="B122" s="188"/>
      <c r="C122" s="191"/>
      <c r="D122" s="191"/>
      <c r="E122" s="192"/>
      <c r="F122" s="111"/>
      <c r="G122" s="183"/>
      <c r="H122" s="184"/>
      <c r="I122" s="185"/>
      <c r="J122" s="186"/>
    </row>
    <row r="123" spans="1:10" s="104" customFormat="1" ht="112.5" customHeight="1" x14ac:dyDescent="0.35">
      <c r="A123" s="193"/>
      <c r="B123" s="190"/>
      <c r="C123" s="191"/>
      <c r="D123" s="191"/>
      <c r="E123" s="192"/>
      <c r="F123" s="112"/>
      <c r="G123" s="181"/>
      <c r="H123" s="182"/>
      <c r="I123" s="185"/>
      <c r="J123" s="186"/>
    </row>
    <row r="124" spans="1:10" s="104" customFormat="1" ht="112.5" customHeight="1" x14ac:dyDescent="0.35">
      <c r="A124" s="187"/>
      <c r="B124" s="188"/>
      <c r="C124" s="191"/>
      <c r="D124" s="191"/>
      <c r="E124" s="192"/>
      <c r="F124" s="111"/>
      <c r="G124" s="183"/>
      <c r="H124" s="184"/>
      <c r="I124" s="185"/>
      <c r="J124" s="186"/>
    </row>
    <row r="125" spans="1:10" s="104" customFormat="1" ht="112.5" customHeight="1" x14ac:dyDescent="0.35">
      <c r="A125" s="193"/>
      <c r="B125" s="190"/>
      <c r="C125" s="191"/>
      <c r="D125" s="191"/>
      <c r="E125" s="192"/>
      <c r="F125" s="112"/>
      <c r="G125" s="181"/>
      <c r="H125" s="182"/>
      <c r="I125" s="185"/>
      <c r="J125" s="186"/>
    </row>
    <row r="126" spans="1:10" s="104" customFormat="1" ht="112.5" customHeight="1" x14ac:dyDescent="0.35">
      <c r="A126" s="187"/>
      <c r="B126" s="188"/>
      <c r="C126" s="191"/>
      <c r="D126" s="191"/>
      <c r="E126" s="192"/>
      <c r="F126" s="111"/>
      <c r="G126" s="183"/>
      <c r="H126" s="184"/>
      <c r="I126" s="185"/>
      <c r="J126" s="186"/>
    </row>
    <row r="127" spans="1:10" s="104" customFormat="1" ht="112.5" customHeight="1" x14ac:dyDescent="0.35">
      <c r="A127" s="193"/>
      <c r="B127" s="190"/>
      <c r="C127" s="191"/>
      <c r="D127" s="191"/>
      <c r="E127" s="192"/>
      <c r="F127" s="112"/>
      <c r="G127" s="181"/>
      <c r="H127" s="182"/>
      <c r="I127" s="185"/>
      <c r="J127" s="186"/>
    </row>
    <row r="128" spans="1:10" s="104" customFormat="1" ht="112.5" customHeight="1" x14ac:dyDescent="0.35">
      <c r="A128" s="187"/>
      <c r="B128" s="188"/>
      <c r="C128" s="191"/>
      <c r="D128" s="191"/>
      <c r="E128" s="192"/>
      <c r="F128" s="111"/>
      <c r="G128" s="183"/>
      <c r="H128" s="184"/>
      <c r="I128" s="185"/>
      <c r="J128" s="186"/>
    </row>
    <row r="129" spans="1:10" s="104" customFormat="1" ht="112.5" customHeight="1" x14ac:dyDescent="0.35">
      <c r="A129" s="193"/>
      <c r="B129" s="190"/>
      <c r="C129" s="191"/>
      <c r="D129" s="191"/>
      <c r="E129" s="192"/>
      <c r="F129" s="112"/>
      <c r="G129" s="181"/>
      <c r="H129" s="182"/>
      <c r="I129" s="185"/>
      <c r="J129" s="186"/>
    </row>
    <row r="130" spans="1:10" s="104" customFormat="1" ht="112.5" customHeight="1" x14ac:dyDescent="0.35">
      <c r="A130" s="187"/>
      <c r="B130" s="188"/>
      <c r="C130" s="191"/>
      <c r="D130" s="191"/>
      <c r="E130" s="192"/>
      <c r="F130" s="111"/>
      <c r="G130" s="183"/>
      <c r="H130" s="184"/>
      <c r="I130" s="185"/>
      <c r="J130" s="186"/>
    </row>
    <row r="131" spans="1:10" s="104" customFormat="1" ht="112.5" customHeight="1" x14ac:dyDescent="0.35">
      <c r="A131" s="193"/>
      <c r="B131" s="190"/>
      <c r="C131" s="191"/>
      <c r="D131" s="191"/>
      <c r="E131" s="192"/>
      <c r="F131" s="112"/>
      <c r="G131" s="181"/>
      <c r="H131" s="182"/>
      <c r="I131" s="185"/>
      <c r="J131" s="186"/>
    </row>
    <row r="132" spans="1:10" s="104" customFormat="1" ht="112.5" customHeight="1" x14ac:dyDescent="0.35">
      <c r="A132" s="187"/>
      <c r="B132" s="188"/>
      <c r="C132" s="191"/>
      <c r="D132" s="191"/>
      <c r="E132" s="192"/>
      <c r="F132" s="111"/>
      <c r="G132" s="183"/>
      <c r="H132" s="184"/>
      <c r="I132" s="185"/>
      <c r="J132" s="186"/>
    </row>
    <row r="133" spans="1:10" s="104" customFormat="1" ht="112.5" customHeight="1" x14ac:dyDescent="0.35">
      <c r="A133" s="193"/>
      <c r="B133" s="190"/>
      <c r="C133" s="191"/>
      <c r="D133" s="191"/>
      <c r="E133" s="192"/>
      <c r="F133" s="112"/>
      <c r="G133" s="181"/>
      <c r="H133" s="182"/>
      <c r="I133" s="185"/>
      <c r="J133" s="186"/>
    </row>
    <row r="134" spans="1:10" s="104" customFormat="1" ht="112.5" customHeight="1" x14ac:dyDescent="0.35">
      <c r="A134" s="187"/>
      <c r="B134" s="188"/>
      <c r="C134" s="191"/>
      <c r="D134" s="191"/>
      <c r="E134" s="192"/>
      <c r="F134" s="111"/>
      <c r="G134" s="183"/>
      <c r="H134" s="184"/>
      <c r="I134" s="185"/>
      <c r="J134" s="186"/>
    </row>
    <row r="135" spans="1:10" s="104" customFormat="1" ht="112.5" customHeight="1" x14ac:dyDescent="0.35">
      <c r="A135" s="193"/>
      <c r="B135" s="190"/>
      <c r="C135" s="191"/>
      <c r="D135" s="191"/>
      <c r="E135" s="192"/>
      <c r="F135" s="112"/>
      <c r="G135" s="181"/>
      <c r="H135" s="182"/>
      <c r="I135" s="185"/>
      <c r="J135" s="186"/>
    </row>
    <row r="136" spans="1:10" s="104" customFormat="1" ht="112.5" customHeight="1" x14ac:dyDescent="0.35">
      <c r="A136" s="187"/>
      <c r="B136" s="188"/>
      <c r="C136" s="191"/>
      <c r="D136" s="191"/>
      <c r="E136" s="192"/>
      <c r="F136" s="111"/>
      <c r="G136" s="183"/>
      <c r="H136" s="184"/>
      <c r="I136" s="185"/>
      <c r="J136" s="186"/>
    </row>
    <row r="137" spans="1:10" s="104" customFormat="1" ht="112.5" customHeight="1" x14ac:dyDescent="0.35">
      <c r="A137" s="193"/>
      <c r="B137" s="190"/>
      <c r="C137" s="191"/>
      <c r="D137" s="191"/>
      <c r="E137" s="192"/>
      <c r="F137" s="112"/>
      <c r="G137" s="181"/>
      <c r="H137" s="182"/>
      <c r="I137" s="185"/>
      <c r="J137" s="186"/>
    </row>
    <row r="138" spans="1:10" s="104" customFormat="1" ht="112.5" customHeight="1" x14ac:dyDescent="0.35">
      <c r="A138" s="187"/>
      <c r="B138" s="188"/>
      <c r="C138" s="191"/>
      <c r="D138" s="191"/>
      <c r="E138" s="192"/>
      <c r="F138" s="111"/>
      <c r="G138" s="183"/>
      <c r="H138" s="184"/>
      <c r="I138" s="185"/>
      <c r="J138" s="186"/>
    </row>
    <row r="139" spans="1:10" s="104" customFormat="1" ht="112.5" customHeight="1" x14ac:dyDescent="0.35">
      <c r="A139" s="193"/>
      <c r="B139" s="190"/>
      <c r="C139" s="191"/>
      <c r="D139" s="191"/>
      <c r="E139" s="192"/>
      <c r="F139" s="112"/>
      <c r="G139" s="181"/>
      <c r="H139" s="182"/>
      <c r="I139" s="185"/>
      <c r="J139" s="186"/>
    </row>
    <row r="140" spans="1:10" s="104" customFormat="1" ht="112.5" customHeight="1" x14ac:dyDescent="0.35">
      <c r="A140" s="187"/>
      <c r="B140" s="188"/>
      <c r="C140" s="191"/>
      <c r="D140" s="191"/>
      <c r="E140" s="192"/>
      <c r="F140" s="111"/>
      <c r="G140" s="183"/>
      <c r="H140" s="184"/>
      <c r="I140" s="185"/>
      <c r="J140" s="186"/>
    </row>
    <row r="141" spans="1:10" s="104" customFormat="1" ht="112.5" customHeight="1" x14ac:dyDescent="0.35">
      <c r="A141" s="193"/>
      <c r="B141" s="190"/>
      <c r="C141" s="191"/>
      <c r="D141" s="191"/>
      <c r="E141" s="192"/>
      <c r="F141" s="112"/>
      <c r="G141" s="181"/>
      <c r="H141" s="182"/>
      <c r="I141" s="185"/>
      <c r="J141" s="186"/>
    </row>
    <row r="142" spans="1:10" s="104" customFormat="1" ht="112.5" customHeight="1" x14ac:dyDescent="0.35">
      <c r="A142" s="187"/>
      <c r="B142" s="188"/>
      <c r="C142" s="191"/>
      <c r="D142" s="191"/>
      <c r="E142" s="192"/>
      <c r="F142" s="111"/>
      <c r="G142" s="183"/>
      <c r="H142" s="184"/>
      <c r="I142" s="185"/>
      <c r="J142" s="186"/>
    </row>
    <row r="143" spans="1:10" s="104" customFormat="1" ht="112.5" customHeight="1" x14ac:dyDescent="0.35">
      <c r="A143" s="193"/>
      <c r="B143" s="190"/>
      <c r="C143" s="191"/>
      <c r="D143" s="191"/>
      <c r="E143" s="192"/>
      <c r="F143" s="112"/>
      <c r="G143" s="181"/>
      <c r="H143" s="182"/>
      <c r="I143" s="185"/>
      <c r="J143" s="186"/>
    </row>
    <row r="144" spans="1:10" s="104" customFormat="1" ht="112.5" customHeight="1" x14ac:dyDescent="0.35">
      <c r="A144" s="187"/>
      <c r="B144" s="188"/>
      <c r="C144" s="191"/>
      <c r="D144" s="191"/>
      <c r="E144" s="192"/>
      <c r="F144" s="111"/>
      <c r="G144" s="183"/>
      <c r="H144" s="184"/>
      <c r="I144" s="185"/>
      <c r="J144" s="186"/>
    </row>
    <row r="145" spans="1:10" s="104" customFormat="1" ht="112.5" customHeight="1" x14ac:dyDescent="0.35">
      <c r="A145" s="193"/>
      <c r="B145" s="190"/>
      <c r="C145" s="191"/>
      <c r="D145" s="191"/>
      <c r="E145" s="192"/>
      <c r="F145" s="112"/>
      <c r="G145" s="181"/>
      <c r="H145" s="182"/>
      <c r="I145" s="185"/>
      <c r="J145" s="186"/>
    </row>
    <row r="146" spans="1:10" s="104" customFormat="1" ht="112.5" customHeight="1" x14ac:dyDescent="0.35">
      <c r="A146" s="187"/>
      <c r="B146" s="188"/>
      <c r="C146" s="191"/>
      <c r="D146" s="191"/>
      <c r="E146" s="192"/>
      <c r="F146" s="111"/>
      <c r="G146" s="183"/>
      <c r="H146" s="184"/>
      <c r="I146" s="185"/>
      <c r="J146" s="186"/>
    </row>
    <row r="147" spans="1:10" s="104" customFormat="1" ht="112.5" customHeight="1" x14ac:dyDescent="0.35">
      <c r="A147" s="193"/>
      <c r="B147" s="190"/>
      <c r="C147" s="191"/>
      <c r="D147" s="191"/>
      <c r="E147" s="192"/>
      <c r="F147" s="112"/>
      <c r="G147" s="181"/>
      <c r="H147" s="182"/>
      <c r="I147" s="185"/>
      <c r="J147" s="186"/>
    </row>
    <row r="148" spans="1:10" s="104" customFormat="1" ht="112.5" customHeight="1" x14ac:dyDescent="0.35">
      <c r="A148" s="187"/>
      <c r="B148" s="188"/>
      <c r="C148" s="191"/>
      <c r="D148" s="191"/>
      <c r="E148" s="192"/>
      <c r="F148" s="111"/>
      <c r="G148" s="183"/>
      <c r="H148" s="184"/>
      <c r="I148" s="185"/>
      <c r="J148" s="186"/>
    </row>
    <row r="149" spans="1:10" s="104" customFormat="1" ht="112.5" customHeight="1" x14ac:dyDescent="0.35">
      <c r="A149" s="193"/>
      <c r="B149" s="190"/>
      <c r="C149" s="191"/>
      <c r="D149" s="191"/>
      <c r="E149" s="192"/>
      <c r="F149" s="112"/>
      <c r="G149" s="181"/>
      <c r="H149" s="182"/>
      <c r="I149" s="185"/>
      <c r="J149" s="186"/>
    </row>
    <row r="150" spans="1:10" s="104" customFormat="1" ht="112.5" customHeight="1" x14ac:dyDescent="0.35">
      <c r="A150" s="187"/>
      <c r="B150" s="188"/>
      <c r="C150" s="191"/>
      <c r="D150" s="191"/>
      <c r="E150" s="192"/>
      <c r="F150" s="111"/>
      <c r="G150" s="183"/>
      <c r="H150" s="184"/>
      <c r="I150" s="185"/>
      <c r="J150" s="186"/>
    </row>
    <row r="151" spans="1:10" s="104" customFormat="1" ht="112.5" customHeight="1" x14ac:dyDescent="0.35">
      <c r="A151" s="193"/>
      <c r="B151" s="190"/>
      <c r="C151" s="191"/>
      <c r="D151" s="191"/>
      <c r="E151" s="192"/>
      <c r="F151" s="112"/>
      <c r="G151" s="181"/>
      <c r="H151" s="182"/>
      <c r="I151" s="185"/>
      <c r="J151" s="186"/>
    </row>
    <row r="152" spans="1:10" s="104" customFormat="1" ht="112.5" customHeight="1" x14ac:dyDescent="0.35">
      <c r="A152" s="187"/>
      <c r="B152" s="188"/>
      <c r="C152" s="191"/>
      <c r="D152" s="191"/>
      <c r="E152" s="192"/>
      <c r="F152" s="111"/>
      <c r="G152" s="183"/>
      <c r="H152" s="184"/>
      <c r="I152" s="185"/>
      <c r="J152" s="186"/>
    </row>
    <row r="153" spans="1:10" s="104" customFormat="1" ht="112.5" customHeight="1" x14ac:dyDescent="0.35">
      <c r="A153" s="193"/>
      <c r="B153" s="190"/>
      <c r="C153" s="191"/>
      <c r="D153" s="191"/>
      <c r="E153" s="192"/>
      <c r="F153" s="112"/>
      <c r="G153" s="181"/>
      <c r="H153" s="182"/>
      <c r="I153" s="185"/>
      <c r="J153" s="186"/>
    </row>
    <row r="154" spans="1:10" s="104" customFormat="1" ht="112.5" customHeight="1" x14ac:dyDescent="0.35">
      <c r="A154" s="187"/>
      <c r="B154" s="188"/>
      <c r="C154" s="191"/>
      <c r="D154" s="191"/>
      <c r="E154" s="192"/>
      <c r="F154" s="111"/>
      <c r="G154" s="183"/>
      <c r="H154" s="184"/>
      <c r="I154" s="185"/>
      <c r="J154" s="186"/>
    </row>
    <row r="155" spans="1:10" s="104" customFormat="1" ht="112.5" customHeight="1" x14ac:dyDescent="0.35">
      <c r="A155" s="193"/>
      <c r="B155" s="190"/>
      <c r="C155" s="191"/>
      <c r="D155" s="191"/>
      <c r="E155" s="192"/>
      <c r="F155" s="112"/>
      <c r="G155" s="181"/>
      <c r="H155" s="182"/>
      <c r="I155" s="185"/>
      <c r="J155" s="186"/>
    </row>
    <row r="156" spans="1:10" s="104" customFormat="1" ht="112.5" customHeight="1" x14ac:dyDescent="0.35">
      <c r="A156" s="187"/>
      <c r="B156" s="188"/>
      <c r="C156" s="191"/>
      <c r="D156" s="191"/>
      <c r="E156" s="192"/>
      <c r="F156" s="111"/>
      <c r="G156" s="183"/>
      <c r="H156" s="184"/>
      <c r="I156" s="185"/>
      <c r="J156" s="186"/>
    </row>
    <row r="157" spans="1:10" s="104" customFormat="1" ht="112.5" customHeight="1" x14ac:dyDescent="0.35">
      <c r="A157" s="193"/>
      <c r="B157" s="190"/>
      <c r="C157" s="191"/>
      <c r="D157" s="191"/>
      <c r="E157" s="192"/>
      <c r="F157" s="112"/>
      <c r="G157" s="181"/>
      <c r="H157" s="182"/>
      <c r="I157" s="185"/>
      <c r="J157" s="186"/>
    </row>
    <row r="158" spans="1:10" s="104" customFormat="1" ht="112.5" customHeight="1" x14ac:dyDescent="0.35">
      <c r="A158" s="187"/>
      <c r="B158" s="188"/>
      <c r="C158" s="191"/>
      <c r="D158" s="191"/>
      <c r="E158" s="192"/>
      <c r="F158" s="111"/>
      <c r="G158" s="183"/>
      <c r="H158" s="184"/>
      <c r="I158" s="185"/>
      <c r="J158" s="186"/>
    </row>
    <row r="159" spans="1:10" s="104" customFormat="1" ht="112.5" customHeight="1" x14ac:dyDescent="0.35">
      <c r="A159" s="193"/>
      <c r="B159" s="190"/>
      <c r="C159" s="191"/>
      <c r="D159" s="191"/>
      <c r="E159" s="192"/>
      <c r="F159" s="112"/>
      <c r="G159" s="181"/>
      <c r="H159" s="182"/>
      <c r="I159" s="185"/>
      <c r="J159" s="186"/>
    </row>
    <row r="160" spans="1:10" s="104" customFormat="1" ht="112.5" customHeight="1" x14ac:dyDescent="0.35">
      <c r="A160" s="187"/>
      <c r="B160" s="188"/>
      <c r="C160" s="191"/>
      <c r="D160" s="191"/>
      <c r="E160" s="192"/>
      <c r="F160" s="111"/>
      <c r="G160" s="183"/>
      <c r="H160" s="184"/>
      <c r="I160" s="185"/>
      <c r="J160" s="186"/>
    </row>
    <row r="161" spans="1:10" s="104" customFormat="1" ht="112.5" customHeight="1" x14ac:dyDescent="0.35">
      <c r="A161" s="193"/>
      <c r="B161" s="190"/>
      <c r="C161" s="191"/>
      <c r="D161" s="191"/>
      <c r="E161" s="192"/>
      <c r="F161" s="112"/>
      <c r="G161" s="181"/>
      <c r="H161" s="182"/>
      <c r="I161" s="185"/>
      <c r="J161" s="186"/>
    </row>
    <row r="162" spans="1:10" s="104" customFormat="1" ht="112.5" customHeight="1" x14ac:dyDescent="0.35">
      <c r="A162" s="187"/>
      <c r="B162" s="188"/>
      <c r="C162" s="191"/>
      <c r="D162" s="191"/>
      <c r="E162" s="192"/>
      <c r="F162" s="111"/>
      <c r="G162" s="183"/>
      <c r="H162" s="184"/>
      <c r="I162" s="185"/>
      <c r="J162" s="186"/>
    </row>
    <row r="163" spans="1:10" s="104" customFormat="1" ht="112.5" customHeight="1" x14ac:dyDescent="0.35">
      <c r="A163" s="193"/>
      <c r="B163" s="190"/>
      <c r="C163" s="191"/>
      <c r="D163" s="191"/>
      <c r="E163" s="192"/>
      <c r="F163" s="112"/>
      <c r="G163" s="181"/>
      <c r="H163" s="182"/>
      <c r="I163" s="185"/>
      <c r="J163" s="186"/>
    </row>
    <row r="164" spans="1:10" s="104" customFormat="1" ht="112.5" customHeight="1" x14ac:dyDescent="0.35">
      <c r="A164" s="187"/>
      <c r="B164" s="188"/>
      <c r="C164" s="191"/>
      <c r="D164" s="191"/>
      <c r="E164" s="192"/>
      <c r="F164" s="111"/>
      <c r="G164" s="183"/>
      <c r="H164" s="184"/>
      <c r="I164" s="185"/>
      <c r="J164" s="186"/>
    </row>
    <row r="165" spans="1:10" s="104" customFormat="1" ht="112.5" customHeight="1" x14ac:dyDescent="0.35">
      <c r="A165" s="193"/>
      <c r="B165" s="190"/>
      <c r="C165" s="191"/>
      <c r="D165" s="191"/>
      <c r="E165" s="192"/>
      <c r="F165" s="112"/>
      <c r="G165" s="181"/>
      <c r="H165" s="182"/>
      <c r="I165" s="185"/>
      <c r="J165" s="186"/>
    </row>
    <row r="166" spans="1:10" s="104" customFormat="1" ht="112.5" customHeight="1" x14ac:dyDescent="0.35">
      <c r="A166" s="187"/>
      <c r="B166" s="188"/>
      <c r="C166" s="191"/>
      <c r="D166" s="191"/>
      <c r="E166" s="192"/>
      <c r="F166" s="111"/>
      <c r="G166" s="183"/>
      <c r="H166" s="184"/>
      <c r="I166" s="185"/>
      <c r="J166" s="186"/>
    </row>
    <row r="167" spans="1:10" s="104" customFormat="1" ht="112.5" customHeight="1" x14ac:dyDescent="0.35">
      <c r="A167" s="193"/>
      <c r="B167" s="190"/>
      <c r="C167" s="191"/>
      <c r="D167" s="191"/>
      <c r="E167" s="192"/>
      <c r="F167" s="112"/>
      <c r="G167" s="181"/>
      <c r="H167" s="182"/>
      <c r="I167" s="185"/>
      <c r="J167" s="186"/>
    </row>
    <row r="168" spans="1:10" s="104" customFormat="1" ht="112.5" customHeight="1" x14ac:dyDescent="0.35">
      <c r="A168" s="187"/>
      <c r="B168" s="188"/>
      <c r="C168" s="191"/>
      <c r="D168" s="191"/>
      <c r="E168" s="192"/>
      <c r="F168" s="111"/>
      <c r="G168" s="183"/>
      <c r="H168" s="184"/>
      <c r="I168" s="185"/>
      <c r="J168" s="186"/>
    </row>
    <row r="169" spans="1:10" s="104" customFormat="1" ht="112.5" customHeight="1" x14ac:dyDescent="0.35">
      <c r="A169" s="193"/>
      <c r="B169" s="190"/>
      <c r="C169" s="191"/>
      <c r="D169" s="191"/>
      <c r="E169" s="192"/>
      <c r="F169" s="112"/>
      <c r="G169" s="181"/>
      <c r="H169" s="182"/>
      <c r="I169" s="185"/>
      <c r="J169" s="186"/>
    </row>
    <row r="170" spans="1:10" s="104" customFormat="1" ht="112.5" customHeight="1" x14ac:dyDescent="0.35">
      <c r="A170" s="187"/>
      <c r="B170" s="188"/>
      <c r="C170" s="191"/>
      <c r="D170" s="191"/>
      <c r="E170" s="192"/>
      <c r="F170" s="111"/>
      <c r="G170" s="183"/>
      <c r="H170" s="184"/>
      <c r="I170" s="185"/>
      <c r="J170" s="186"/>
    </row>
    <row r="171" spans="1:10" s="104" customFormat="1" ht="112.5" customHeight="1" x14ac:dyDescent="0.35">
      <c r="A171" s="189"/>
      <c r="B171" s="190"/>
      <c r="C171" s="191"/>
      <c r="D171" s="191"/>
      <c r="E171" s="192"/>
      <c r="F171" s="112"/>
      <c r="G171" s="181"/>
      <c r="H171" s="182"/>
      <c r="I171" s="185"/>
      <c r="J171" s="186"/>
    </row>
    <row r="172" spans="1:10" s="104" customFormat="1" ht="112.5" customHeight="1" x14ac:dyDescent="0.35">
      <c r="A172" s="187"/>
      <c r="B172" s="188"/>
      <c r="C172" s="191"/>
      <c r="D172" s="191"/>
      <c r="E172" s="192"/>
      <c r="F172" s="111"/>
      <c r="G172" s="183"/>
      <c r="H172" s="184"/>
      <c r="I172" s="185"/>
      <c r="J172" s="186"/>
    </row>
    <row r="173" spans="1:10" s="104" customFormat="1" ht="112.5" customHeight="1" x14ac:dyDescent="0.35">
      <c r="A173" s="189"/>
      <c r="B173" s="190"/>
      <c r="C173" s="191"/>
      <c r="D173" s="191"/>
      <c r="E173" s="192"/>
      <c r="F173" s="112"/>
      <c r="G173" s="181"/>
      <c r="H173" s="182"/>
      <c r="I173" s="185"/>
      <c r="J173" s="186"/>
    </row>
    <row r="174" spans="1:10" s="104" customFormat="1" ht="112.5" customHeight="1" x14ac:dyDescent="0.35">
      <c r="A174" s="187"/>
      <c r="B174" s="188"/>
      <c r="C174" s="191"/>
      <c r="D174" s="191"/>
      <c r="E174" s="192"/>
      <c r="F174" s="111"/>
      <c r="G174" s="183"/>
      <c r="H174" s="184"/>
      <c r="I174" s="185"/>
      <c r="J174" s="186"/>
    </row>
    <row r="175" spans="1:10" s="104" customFormat="1" ht="112.5" customHeight="1" x14ac:dyDescent="0.35">
      <c r="A175" s="189"/>
      <c r="B175" s="190"/>
      <c r="C175" s="191"/>
      <c r="D175" s="191"/>
      <c r="E175" s="192"/>
      <c r="F175" s="112"/>
      <c r="G175" s="181"/>
      <c r="H175" s="182"/>
      <c r="I175" s="185"/>
      <c r="J175" s="186"/>
    </row>
    <row r="176" spans="1:10" s="104" customFormat="1" ht="112.5" customHeight="1" x14ac:dyDescent="0.35">
      <c r="A176" s="187"/>
      <c r="B176" s="188"/>
      <c r="C176" s="191"/>
      <c r="D176" s="191"/>
      <c r="E176" s="192"/>
      <c r="F176" s="111"/>
      <c r="G176" s="183"/>
      <c r="H176" s="184"/>
      <c r="I176" s="185"/>
      <c r="J176" s="186"/>
    </row>
    <row r="177" spans="1:10" s="104" customFormat="1" ht="112.5" customHeight="1" x14ac:dyDescent="0.35">
      <c r="A177" s="189"/>
      <c r="B177" s="190"/>
      <c r="C177" s="191"/>
      <c r="D177" s="191"/>
      <c r="E177" s="192"/>
      <c r="F177" s="112"/>
      <c r="G177" s="181"/>
      <c r="H177" s="182"/>
      <c r="I177" s="185"/>
      <c r="J177" s="186"/>
    </row>
    <row r="178" spans="1:10" s="104" customFormat="1" ht="112.5" customHeight="1" x14ac:dyDescent="0.35">
      <c r="A178" s="187"/>
      <c r="B178" s="188"/>
      <c r="C178" s="191"/>
      <c r="D178" s="191"/>
      <c r="E178" s="192"/>
      <c r="F178" s="111"/>
      <c r="G178" s="183"/>
      <c r="H178" s="184"/>
      <c r="I178" s="185"/>
      <c r="J178" s="186"/>
    </row>
    <row r="179" spans="1:10" s="104" customFormat="1" ht="112.5" customHeight="1" x14ac:dyDescent="0.35">
      <c r="A179" s="189"/>
      <c r="B179" s="190"/>
      <c r="C179" s="191"/>
      <c r="D179" s="191"/>
      <c r="E179" s="192"/>
      <c r="F179" s="112"/>
      <c r="G179" s="181"/>
      <c r="H179" s="182"/>
      <c r="I179" s="185"/>
      <c r="J179" s="186"/>
    </row>
    <row r="180" spans="1:10" s="104" customFormat="1" ht="112.5" customHeight="1" x14ac:dyDescent="0.35">
      <c r="A180" s="187"/>
      <c r="B180" s="188"/>
      <c r="C180" s="191"/>
      <c r="D180" s="191"/>
      <c r="E180" s="192"/>
      <c r="F180" s="111"/>
      <c r="G180" s="183"/>
      <c r="H180" s="184"/>
      <c r="I180" s="185"/>
      <c r="J180" s="186"/>
    </row>
    <row r="181" spans="1:10" s="104" customFormat="1" ht="112.5" customHeight="1" x14ac:dyDescent="0.35">
      <c r="A181" s="189"/>
      <c r="B181" s="190"/>
      <c r="C181" s="191"/>
      <c r="D181" s="191"/>
      <c r="E181" s="192"/>
      <c r="F181" s="112"/>
      <c r="G181" s="181"/>
      <c r="H181" s="182"/>
      <c r="I181" s="185"/>
      <c r="J181" s="186"/>
    </row>
    <row r="182" spans="1:10" s="104" customFormat="1" ht="112.5" customHeight="1" x14ac:dyDescent="0.35">
      <c r="A182" s="187"/>
      <c r="B182" s="188"/>
      <c r="C182" s="191"/>
      <c r="D182" s="191"/>
      <c r="E182" s="192"/>
      <c r="F182" s="111"/>
      <c r="G182" s="183"/>
      <c r="H182" s="184"/>
      <c r="I182" s="185"/>
      <c r="J182" s="186"/>
    </row>
    <row r="183" spans="1:10" s="104" customFormat="1" ht="112.5" customHeight="1" x14ac:dyDescent="0.35">
      <c r="A183" s="189"/>
      <c r="B183" s="190"/>
      <c r="C183" s="191"/>
      <c r="D183" s="191"/>
      <c r="E183" s="192"/>
      <c r="F183" s="112"/>
      <c r="G183" s="181"/>
      <c r="H183" s="182"/>
      <c r="I183" s="185"/>
      <c r="J183" s="186"/>
    </row>
    <row r="184" spans="1:10" s="104" customFormat="1" ht="112.5" customHeight="1" x14ac:dyDescent="0.35">
      <c r="A184" s="187"/>
      <c r="B184" s="188"/>
      <c r="C184" s="191"/>
      <c r="D184" s="191"/>
      <c r="E184" s="192"/>
      <c r="F184" s="111"/>
      <c r="G184" s="183"/>
      <c r="H184" s="184"/>
      <c r="I184" s="185"/>
      <c r="J184" s="186"/>
    </row>
    <row r="185" spans="1:10" s="104" customFormat="1" ht="112.5" customHeight="1" x14ac:dyDescent="0.35">
      <c r="A185" s="189"/>
      <c r="B185" s="190"/>
      <c r="C185" s="191"/>
      <c r="D185" s="191"/>
      <c r="E185" s="192"/>
      <c r="F185" s="112"/>
      <c r="G185" s="181"/>
      <c r="H185" s="182"/>
      <c r="I185" s="185"/>
      <c r="J185" s="186"/>
    </row>
    <row r="186" spans="1:10" s="104" customFormat="1" ht="112.5" customHeight="1" x14ac:dyDescent="0.35">
      <c r="A186" s="187"/>
      <c r="B186" s="188"/>
      <c r="C186" s="191"/>
      <c r="D186" s="191"/>
      <c r="E186" s="192"/>
      <c r="F186" s="111"/>
      <c r="G186" s="183"/>
      <c r="H186" s="184"/>
      <c r="I186" s="185"/>
      <c r="J186" s="186"/>
    </row>
    <row r="187" spans="1:10" s="104" customFormat="1" ht="112.5" customHeight="1" x14ac:dyDescent="0.35">
      <c r="A187" s="189"/>
      <c r="B187" s="190"/>
      <c r="C187" s="191"/>
      <c r="D187" s="191"/>
      <c r="E187" s="192"/>
      <c r="F187" s="112"/>
      <c r="G187" s="181"/>
      <c r="H187" s="182"/>
      <c r="I187" s="185"/>
      <c r="J187" s="186"/>
    </row>
    <row r="188" spans="1:10" s="104" customFormat="1" ht="112.5" customHeight="1" x14ac:dyDescent="0.35">
      <c r="A188" s="187"/>
      <c r="B188" s="188"/>
      <c r="C188" s="191"/>
      <c r="D188" s="191"/>
      <c r="E188" s="192"/>
      <c r="F188" s="111"/>
      <c r="G188" s="183"/>
      <c r="H188" s="184"/>
      <c r="I188" s="185"/>
      <c r="J188" s="186"/>
    </row>
    <row r="189" spans="1:10" s="104" customFormat="1" ht="112.5" customHeight="1" x14ac:dyDescent="0.35">
      <c r="A189" s="189"/>
      <c r="B189" s="190"/>
      <c r="C189" s="191"/>
      <c r="D189" s="191"/>
      <c r="E189" s="192"/>
      <c r="F189" s="112"/>
      <c r="G189" s="181"/>
      <c r="H189" s="182"/>
      <c r="I189" s="185"/>
      <c r="J189" s="186"/>
    </row>
    <row r="190" spans="1:10" s="104" customFormat="1" ht="112.5" customHeight="1" x14ac:dyDescent="0.35">
      <c r="A190" s="187"/>
      <c r="B190" s="188"/>
      <c r="C190" s="191"/>
      <c r="D190" s="191"/>
      <c r="E190" s="192"/>
      <c r="F190" s="111"/>
      <c r="G190" s="183"/>
      <c r="H190" s="184"/>
      <c r="I190" s="185"/>
      <c r="J190" s="186"/>
    </row>
    <row r="191" spans="1:10" s="104" customFormat="1" ht="112.5" customHeight="1" x14ac:dyDescent="0.35">
      <c r="A191" s="189"/>
      <c r="B191" s="190"/>
      <c r="C191" s="191"/>
      <c r="D191" s="191"/>
      <c r="E191" s="192"/>
      <c r="F191" s="112"/>
      <c r="G191" s="181"/>
      <c r="H191" s="182"/>
      <c r="I191" s="185"/>
      <c r="J191" s="186"/>
    </row>
    <row r="192" spans="1:10" s="104" customFormat="1" ht="112.5" customHeight="1" x14ac:dyDescent="0.35">
      <c r="A192" s="187"/>
      <c r="B192" s="188"/>
      <c r="C192" s="191"/>
      <c r="D192" s="191"/>
      <c r="E192" s="192"/>
      <c r="F192" s="111"/>
      <c r="G192" s="183"/>
      <c r="H192" s="184"/>
      <c r="I192" s="185"/>
      <c r="J192" s="186"/>
    </row>
    <row r="193" spans="1:10" s="104" customFormat="1" ht="112.5" customHeight="1" x14ac:dyDescent="0.35">
      <c r="A193" s="189"/>
      <c r="B193" s="190"/>
      <c r="C193" s="191"/>
      <c r="D193" s="191"/>
      <c r="E193" s="192"/>
      <c r="F193" s="112"/>
      <c r="G193" s="181"/>
      <c r="H193" s="182"/>
      <c r="I193" s="185"/>
      <c r="J193" s="186"/>
    </row>
    <row r="194" spans="1:10" s="104" customFormat="1" ht="112.5" customHeight="1" x14ac:dyDescent="0.35">
      <c r="A194" s="187"/>
      <c r="B194" s="188"/>
      <c r="C194" s="191"/>
      <c r="D194" s="191"/>
      <c r="E194" s="192"/>
      <c r="F194" s="111"/>
      <c r="G194" s="183"/>
      <c r="H194" s="184"/>
      <c r="I194" s="185"/>
      <c r="J194" s="186"/>
    </row>
    <row r="195" spans="1:10" s="104" customFormat="1" ht="112.5" customHeight="1" x14ac:dyDescent="0.35">
      <c r="A195" s="189"/>
      <c r="B195" s="190"/>
      <c r="C195" s="191"/>
      <c r="D195" s="191"/>
      <c r="E195" s="192"/>
      <c r="F195" s="112"/>
      <c r="G195" s="181"/>
      <c r="H195" s="182"/>
      <c r="I195" s="185"/>
      <c r="J195" s="186"/>
    </row>
    <row r="196" spans="1:10" s="104" customFormat="1" ht="112.5" customHeight="1" x14ac:dyDescent="0.35">
      <c r="A196" s="187"/>
      <c r="B196" s="188"/>
      <c r="C196" s="191"/>
      <c r="D196" s="191"/>
      <c r="E196" s="192"/>
      <c r="F196" s="111"/>
      <c r="G196" s="183"/>
      <c r="H196" s="184"/>
      <c r="I196" s="185"/>
      <c r="J196" s="186"/>
    </row>
    <row r="197" spans="1:10" s="104" customFormat="1" ht="112.5" customHeight="1" x14ac:dyDescent="0.35">
      <c r="A197" s="189"/>
      <c r="B197" s="190"/>
      <c r="C197" s="191"/>
      <c r="D197" s="191"/>
      <c r="E197" s="192"/>
      <c r="F197" s="112"/>
      <c r="G197" s="181"/>
      <c r="H197" s="182"/>
      <c r="I197" s="185"/>
      <c r="J197" s="186"/>
    </row>
    <row r="198" spans="1:10" s="104" customFormat="1" ht="112.5" customHeight="1" x14ac:dyDescent="0.35">
      <c r="A198" s="187"/>
      <c r="B198" s="188"/>
      <c r="C198" s="191"/>
      <c r="D198" s="191"/>
      <c r="E198" s="192"/>
      <c r="F198" s="111"/>
      <c r="G198" s="183"/>
      <c r="H198" s="184"/>
      <c r="I198" s="185"/>
      <c r="J198" s="186"/>
    </row>
    <row r="199" spans="1:10" s="104" customFormat="1" ht="112.5" customHeight="1" x14ac:dyDescent="0.35">
      <c r="A199" s="189"/>
      <c r="B199" s="190"/>
      <c r="C199" s="191"/>
      <c r="D199" s="191"/>
      <c r="E199" s="192"/>
      <c r="F199" s="112"/>
      <c r="G199" s="181"/>
      <c r="H199" s="182"/>
      <c r="I199" s="185"/>
      <c r="J199" s="186"/>
    </row>
    <row r="200" spans="1:10" s="104" customFormat="1" ht="112.5" customHeight="1" x14ac:dyDescent="0.35">
      <c r="A200" s="187"/>
      <c r="B200" s="188"/>
      <c r="C200" s="191"/>
      <c r="D200" s="191"/>
      <c r="E200" s="192"/>
      <c r="F200" s="111"/>
      <c r="G200" s="183"/>
      <c r="H200" s="184"/>
      <c r="I200" s="185"/>
      <c r="J200" s="186"/>
    </row>
    <row r="201" spans="1:10" s="104" customFormat="1" ht="112.5" customHeight="1" x14ac:dyDescent="0.35">
      <c r="A201" s="189"/>
      <c r="B201" s="190"/>
      <c r="C201" s="191"/>
      <c r="D201" s="191"/>
      <c r="E201" s="192"/>
      <c r="F201" s="112"/>
      <c r="G201" s="181"/>
      <c r="H201" s="182"/>
      <c r="I201" s="185"/>
      <c r="J201" s="186"/>
    </row>
    <row r="202" spans="1:10" s="104" customFormat="1" ht="112.5" customHeight="1" x14ac:dyDescent="0.35">
      <c r="A202" s="187"/>
      <c r="B202" s="188"/>
      <c r="C202" s="191"/>
      <c r="D202" s="191"/>
      <c r="E202" s="192"/>
      <c r="F202" s="111"/>
      <c r="G202" s="183"/>
      <c r="H202" s="184"/>
      <c r="I202" s="185"/>
      <c r="J202" s="186"/>
    </row>
    <row r="203" spans="1:10" s="104" customFormat="1" ht="112.5" customHeight="1" x14ac:dyDescent="0.35">
      <c r="A203" s="189"/>
      <c r="B203" s="190"/>
      <c r="C203" s="191"/>
      <c r="D203" s="191"/>
      <c r="E203" s="192"/>
      <c r="F203" s="112"/>
      <c r="G203" s="181"/>
      <c r="H203" s="182"/>
      <c r="I203" s="185"/>
      <c r="J203" s="186"/>
    </row>
    <row r="204" spans="1:10" s="104" customFormat="1" ht="112.5" customHeight="1" x14ac:dyDescent="0.35">
      <c r="A204" s="187"/>
      <c r="B204" s="188"/>
      <c r="C204" s="191"/>
      <c r="D204" s="191"/>
      <c r="E204" s="192"/>
      <c r="F204" s="111"/>
      <c r="G204" s="183"/>
      <c r="H204" s="184"/>
      <c r="I204" s="185"/>
      <c r="J204" s="186"/>
    </row>
    <row r="205" spans="1:10" s="104" customFormat="1" ht="112.5" customHeight="1" x14ac:dyDescent="0.35">
      <c r="A205" s="189"/>
      <c r="B205" s="190"/>
      <c r="C205" s="191"/>
      <c r="D205" s="191"/>
      <c r="E205" s="192"/>
      <c r="F205" s="112"/>
      <c r="G205" s="181"/>
      <c r="H205" s="182"/>
      <c r="I205" s="185"/>
      <c r="J205" s="186"/>
    </row>
    <row r="206" spans="1:10" s="104" customFormat="1" ht="112.5" customHeight="1" x14ac:dyDescent="0.35">
      <c r="A206" s="187"/>
      <c r="B206" s="188"/>
      <c r="C206" s="191"/>
      <c r="D206" s="191"/>
      <c r="E206" s="192"/>
      <c r="F206" s="111"/>
      <c r="G206" s="183"/>
      <c r="H206" s="184"/>
      <c r="I206" s="185"/>
      <c r="J206" s="186"/>
    </row>
    <row r="207" spans="1:10" s="104" customFormat="1" ht="112.5" customHeight="1" x14ac:dyDescent="0.35">
      <c r="A207" s="189"/>
      <c r="B207" s="190"/>
      <c r="C207" s="191"/>
      <c r="D207" s="191"/>
      <c r="E207" s="192"/>
      <c r="F207" s="112"/>
      <c r="G207" s="181"/>
      <c r="H207" s="182"/>
      <c r="I207" s="185"/>
      <c r="J207" s="186"/>
    </row>
    <row r="208" spans="1:10" s="104" customFormat="1" ht="112.5" customHeight="1" x14ac:dyDescent="0.35">
      <c r="A208" s="187"/>
      <c r="B208" s="188"/>
      <c r="C208" s="191"/>
      <c r="D208" s="191"/>
      <c r="E208" s="192"/>
      <c r="F208" s="111"/>
      <c r="G208" s="183"/>
      <c r="H208" s="184"/>
      <c r="I208" s="185"/>
      <c r="J208" s="186"/>
    </row>
    <row r="209" spans="1:10" s="104" customFormat="1" ht="112.5" customHeight="1" x14ac:dyDescent="0.35">
      <c r="A209" s="189"/>
      <c r="B209" s="190"/>
      <c r="C209" s="191"/>
      <c r="D209" s="191"/>
      <c r="E209" s="192"/>
      <c r="F209" s="112"/>
      <c r="G209" s="181"/>
      <c r="H209" s="182"/>
      <c r="I209" s="185"/>
      <c r="J209" s="186"/>
    </row>
    <row r="210" spans="1:10" s="104" customFormat="1" ht="112.5" customHeight="1" x14ac:dyDescent="0.35">
      <c r="A210" s="187"/>
      <c r="B210" s="188"/>
      <c r="C210" s="191"/>
      <c r="D210" s="191"/>
      <c r="E210" s="192"/>
      <c r="F210" s="111"/>
      <c r="G210" s="183"/>
      <c r="H210" s="184"/>
      <c r="I210" s="185"/>
      <c r="J210" s="186"/>
    </row>
    <row r="211" spans="1:10" s="104" customFormat="1" ht="112.5" customHeight="1" x14ac:dyDescent="0.35">
      <c r="A211" s="189"/>
      <c r="B211" s="190"/>
      <c r="C211" s="191"/>
      <c r="D211" s="191"/>
      <c r="E211" s="192"/>
      <c r="F211" s="112"/>
      <c r="G211" s="181"/>
      <c r="H211" s="182"/>
      <c r="I211" s="185"/>
      <c r="J211" s="186"/>
    </row>
    <row r="212" spans="1:10" s="104" customFormat="1" ht="112.5" customHeight="1" x14ac:dyDescent="0.35">
      <c r="A212" s="187"/>
      <c r="B212" s="188"/>
      <c r="C212" s="191"/>
      <c r="D212" s="191"/>
      <c r="E212" s="192"/>
      <c r="F212" s="111"/>
      <c r="G212" s="183"/>
      <c r="H212" s="184"/>
      <c r="I212" s="185"/>
      <c r="J212" s="186"/>
    </row>
    <row r="213" spans="1:10" s="104" customFormat="1" ht="112.5" customHeight="1" x14ac:dyDescent="0.35">
      <c r="A213" s="189"/>
      <c r="B213" s="190"/>
      <c r="C213" s="191"/>
      <c r="D213" s="191"/>
      <c r="E213" s="192"/>
      <c r="F213" s="112"/>
      <c r="G213" s="181"/>
      <c r="H213" s="182"/>
      <c r="I213" s="185"/>
      <c r="J213" s="186"/>
    </row>
    <row r="214" spans="1:10" s="104" customFormat="1" ht="112.5" customHeight="1" x14ac:dyDescent="0.35">
      <c r="A214" s="187"/>
      <c r="B214" s="188"/>
      <c r="C214" s="191"/>
      <c r="D214" s="191"/>
      <c r="E214" s="192"/>
      <c r="F214" s="111"/>
      <c r="G214" s="183"/>
      <c r="H214" s="184"/>
      <c r="I214" s="185"/>
      <c r="J214" s="186"/>
    </row>
    <row r="215" spans="1:10" s="104" customFormat="1" ht="112.5" customHeight="1" x14ac:dyDescent="0.35">
      <c r="A215" s="189"/>
      <c r="B215" s="190"/>
      <c r="C215" s="191"/>
      <c r="D215" s="191"/>
      <c r="E215" s="192"/>
      <c r="F215" s="112"/>
      <c r="G215" s="181"/>
      <c r="H215" s="182"/>
      <c r="I215" s="185"/>
      <c r="J215" s="186"/>
    </row>
    <row r="216" spans="1:10" s="104" customFormat="1" ht="112.5" customHeight="1" x14ac:dyDescent="0.35">
      <c r="A216" s="187"/>
      <c r="B216" s="188"/>
      <c r="C216" s="191"/>
      <c r="D216" s="191"/>
      <c r="E216" s="192"/>
      <c r="F216" s="111"/>
      <c r="G216" s="183"/>
      <c r="H216" s="184"/>
      <c r="I216" s="185"/>
      <c r="J216" s="186"/>
    </row>
    <row r="217" spans="1:10" s="104" customFormat="1" ht="112.5" customHeight="1" x14ac:dyDescent="0.35">
      <c r="A217" s="189"/>
      <c r="B217" s="190"/>
      <c r="C217" s="191"/>
      <c r="D217" s="191"/>
      <c r="E217" s="192"/>
      <c r="F217" s="112"/>
      <c r="G217" s="181"/>
      <c r="H217" s="182"/>
      <c r="I217" s="185"/>
      <c r="J217" s="186"/>
    </row>
    <row r="218" spans="1:10" s="104" customFormat="1" ht="112.5" customHeight="1" x14ac:dyDescent="0.35">
      <c r="A218" s="187"/>
      <c r="B218" s="188"/>
      <c r="C218" s="191"/>
      <c r="D218" s="191"/>
      <c r="E218" s="192"/>
      <c r="F218" s="111"/>
      <c r="G218" s="183"/>
      <c r="H218" s="184"/>
      <c r="I218" s="185"/>
      <c r="J218" s="186"/>
    </row>
    <row r="219" spans="1:10" s="104" customFormat="1" ht="112.5" customHeight="1" x14ac:dyDescent="0.35">
      <c r="A219" s="189"/>
      <c r="B219" s="190"/>
      <c r="C219" s="191"/>
      <c r="D219" s="191"/>
      <c r="E219" s="192"/>
      <c r="F219" s="112"/>
      <c r="G219" s="181"/>
      <c r="H219" s="182"/>
      <c r="I219" s="185"/>
      <c r="J219" s="186"/>
    </row>
    <row r="220" spans="1:10" s="104" customFormat="1" ht="112.5" customHeight="1" x14ac:dyDescent="0.35">
      <c r="A220" s="187"/>
      <c r="B220" s="188"/>
      <c r="C220" s="191"/>
      <c r="D220" s="191"/>
      <c r="E220" s="192"/>
      <c r="F220" s="111"/>
      <c r="G220" s="183"/>
      <c r="H220" s="184"/>
      <c r="I220" s="185"/>
      <c r="J220" s="186"/>
    </row>
    <row r="221" spans="1:10" s="104" customFormat="1" ht="112.5" customHeight="1" x14ac:dyDescent="0.35">
      <c r="A221" s="189"/>
      <c r="B221" s="190"/>
      <c r="C221" s="191"/>
      <c r="D221" s="191"/>
      <c r="E221" s="192"/>
      <c r="F221" s="112"/>
      <c r="G221" s="181"/>
      <c r="H221" s="182"/>
      <c r="I221" s="185"/>
      <c r="J221" s="186"/>
    </row>
    <row r="222" spans="1:10" s="104" customFormat="1" ht="112.5" customHeight="1" x14ac:dyDescent="0.35">
      <c r="A222" s="187"/>
      <c r="B222" s="188"/>
      <c r="C222" s="191"/>
      <c r="D222" s="191"/>
      <c r="E222" s="192"/>
      <c r="F222" s="111"/>
      <c r="G222" s="183"/>
      <c r="H222" s="184"/>
      <c r="I222" s="185"/>
      <c r="J222" s="186"/>
    </row>
    <row r="223" spans="1:10" ht="57" customHeight="1" x14ac:dyDescent="0.25">
      <c r="A223" s="213"/>
      <c r="B223" s="214"/>
      <c r="C223" s="214"/>
      <c r="D223" s="214"/>
      <c r="E223" s="83"/>
      <c r="F223" s="83"/>
      <c r="G223" s="83"/>
      <c r="H223" s="82"/>
      <c r="I223" s="113" t="s">
        <v>150</v>
      </c>
      <c r="J223" s="114">
        <f>SUM(J23:J222)</f>
        <v>0</v>
      </c>
    </row>
    <row r="224" spans="1:10" ht="15.75" x14ac:dyDescent="0.25">
      <c r="A224" s="81"/>
      <c r="B224" s="80"/>
      <c r="C224" s="80"/>
      <c r="D224" s="80"/>
      <c r="E224" s="79"/>
      <c r="F224" s="79"/>
      <c r="G224" s="79"/>
      <c r="H224" s="79"/>
      <c r="I224" s="78"/>
      <c r="J224" s="77"/>
    </row>
    <row r="225" spans="1:10" ht="30" customHeight="1" x14ac:dyDescent="0.25">
      <c r="A225" s="241" t="s">
        <v>153</v>
      </c>
      <c r="B225" s="242"/>
      <c r="C225" s="242"/>
      <c r="D225" s="242" t="s">
        <v>154</v>
      </c>
      <c r="E225" s="242"/>
      <c r="F225" s="242"/>
      <c r="G225" s="242"/>
      <c r="H225" s="105"/>
      <c r="I225" s="106"/>
      <c r="J225" s="107"/>
    </row>
    <row r="226" spans="1:10" s="103" customFormat="1" ht="30" customHeight="1" x14ac:dyDescent="0.3">
      <c r="A226" s="243" t="s">
        <v>161</v>
      </c>
      <c r="B226" s="244"/>
      <c r="C226" s="244"/>
      <c r="D226" s="210" t="s">
        <v>161</v>
      </c>
      <c r="E226" s="210"/>
      <c r="F226" s="210"/>
      <c r="G226" s="210"/>
      <c r="H226" s="105"/>
      <c r="I226" s="106"/>
      <c r="J226" s="107"/>
    </row>
    <row r="227" spans="1:10" s="103" customFormat="1" ht="119.25" customHeight="1" x14ac:dyDescent="0.3">
      <c r="A227" s="207" t="s">
        <v>143</v>
      </c>
      <c r="B227" s="208"/>
      <c r="C227" s="208"/>
      <c r="D227" s="206" t="s">
        <v>143</v>
      </c>
      <c r="E227" s="206"/>
      <c r="F227" s="206"/>
      <c r="G227" s="206"/>
      <c r="H227" s="105"/>
      <c r="I227" s="106"/>
      <c r="J227" s="107"/>
    </row>
    <row r="228" spans="1:10" s="103" customFormat="1" ht="30" customHeight="1" x14ac:dyDescent="0.3">
      <c r="A228" s="209" t="s">
        <v>142</v>
      </c>
      <c r="B228" s="210"/>
      <c r="C228" s="210"/>
      <c r="D228" s="210" t="s">
        <v>142</v>
      </c>
      <c r="E228" s="210"/>
      <c r="F228" s="210"/>
      <c r="G228" s="210"/>
      <c r="H228" s="108"/>
      <c r="I228" s="106"/>
      <c r="J228" s="107"/>
    </row>
    <row r="229" spans="1:10" ht="30" customHeight="1" x14ac:dyDescent="0.25">
      <c r="A229" s="241" t="s">
        <v>155</v>
      </c>
      <c r="B229" s="242"/>
      <c r="C229" s="242"/>
      <c r="D229" s="242" t="s">
        <v>156</v>
      </c>
      <c r="E229" s="242"/>
      <c r="F229" s="242"/>
      <c r="G229" s="242"/>
      <c r="H229" s="197" t="s">
        <v>157</v>
      </c>
      <c r="I229" s="198"/>
      <c r="J229" s="199"/>
    </row>
    <row r="230" spans="1:10" s="103" customFormat="1" ht="30" customHeight="1" x14ac:dyDescent="0.3">
      <c r="A230" s="209" t="s">
        <v>342</v>
      </c>
      <c r="B230" s="210"/>
      <c r="C230" s="210"/>
      <c r="D230" s="210" t="s">
        <v>45</v>
      </c>
      <c r="E230" s="210"/>
      <c r="F230" s="210"/>
      <c r="G230" s="210"/>
      <c r="H230" s="200" t="s">
        <v>161</v>
      </c>
      <c r="I230" s="201"/>
      <c r="J230" s="202"/>
    </row>
    <row r="231" spans="1:10" s="103" customFormat="1" ht="116.25" customHeight="1" x14ac:dyDescent="0.3">
      <c r="A231" s="207" t="s">
        <v>143</v>
      </c>
      <c r="B231" s="208"/>
      <c r="C231" s="208"/>
      <c r="D231" s="206" t="s">
        <v>143</v>
      </c>
      <c r="E231" s="206"/>
      <c r="F231" s="206"/>
      <c r="G231" s="206"/>
      <c r="H231" s="203" t="s">
        <v>143</v>
      </c>
      <c r="I231" s="204"/>
      <c r="J231" s="205"/>
    </row>
    <row r="232" spans="1:10" s="103" customFormat="1" ht="31.5" customHeight="1" thickBot="1" x14ac:dyDescent="0.35">
      <c r="A232" s="212" t="s">
        <v>141</v>
      </c>
      <c r="B232" s="211"/>
      <c r="C232" s="211"/>
      <c r="D232" s="211" t="s">
        <v>142</v>
      </c>
      <c r="E232" s="211"/>
      <c r="F232" s="211"/>
      <c r="G232" s="211"/>
      <c r="H232" s="194" t="s">
        <v>141</v>
      </c>
      <c r="I232" s="195"/>
      <c r="J232" s="196"/>
    </row>
  </sheetData>
  <sheetProtection autoFilter="0"/>
  <mergeCells count="829">
    <mergeCell ref="A225:C225"/>
    <mergeCell ref="A226:C226"/>
    <mergeCell ref="A229:C229"/>
    <mergeCell ref="D225:G225"/>
    <mergeCell ref="D229:G229"/>
    <mergeCell ref="A228:C228"/>
    <mergeCell ref="D228:G228"/>
    <mergeCell ref="A227:C227"/>
    <mergeCell ref="D227:G227"/>
    <mergeCell ref="D226:G226"/>
    <mergeCell ref="G23:H24"/>
    <mergeCell ref="G25:H26"/>
    <mergeCell ref="I25:I26"/>
    <mergeCell ref="J25:J26"/>
    <mergeCell ref="A26:B26"/>
    <mergeCell ref="E4:F4"/>
    <mergeCell ref="A22:B22"/>
    <mergeCell ref="G22:H22"/>
    <mergeCell ref="C1:F1"/>
    <mergeCell ref="C2:F2"/>
    <mergeCell ref="C3:F3"/>
    <mergeCell ref="H2:J2"/>
    <mergeCell ref="H3:J3"/>
    <mergeCell ref="I23:I24"/>
    <mergeCell ref="J23:J24"/>
    <mergeCell ref="A24:B24"/>
    <mergeCell ref="A25:B25"/>
    <mergeCell ref="C25:C26"/>
    <mergeCell ref="D25:D26"/>
    <mergeCell ref="E25:E26"/>
    <mergeCell ref="E23:E24"/>
    <mergeCell ref="A23:B23"/>
    <mergeCell ref="C23:C24"/>
    <mergeCell ref="D23:D24"/>
    <mergeCell ref="G29:H30"/>
    <mergeCell ref="I29:I30"/>
    <mergeCell ref="J29:J30"/>
    <mergeCell ref="A27:B27"/>
    <mergeCell ref="C27:C28"/>
    <mergeCell ref="A30:B30"/>
    <mergeCell ref="A31:B31"/>
    <mergeCell ref="C31:C32"/>
    <mergeCell ref="D31:D32"/>
    <mergeCell ref="E31:E32"/>
    <mergeCell ref="I31:I32"/>
    <mergeCell ref="D27:D28"/>
    <mergeCell ref="E27:E28"/>
    <mergeCell ref="G27:H28"/>
    <mergeCell ref="A29:B29"/>
    <mergeCell ref="C29:C30"/>
    <mergeCell ref="D29:D30"/>
    <mergeCell ref="E29:E30"/>
    <mergeCell ref="A28:B28"/>
    <mergeCell ref="J31:J32"/>
    <mergeCell ref="A32:B32"/>
    <mergeCell ref="I27:I28"/>
    <mergeCell ref="J27:J28"/>
    <mergeCell ref="A223:D223"/>
    <mergeCell ref="G31:H32"/>
    <mergeCell ref="A33:B33"/>
    <mergeCell ref="A36:B36"/>
    <mergeCell ref="A37:B37"/>
    <mergeCell ref="C37:C38"/>
    <mergeCell ref="D37:D38"/>
    <mergeCell ref="E37:E38"/>
    <mergeCell ref="J33:J34"/>
    <mergeCell ref="A34:B34"/>
    <mergeCell ref="A35:B35"/>
    <mergeCell ref="C35:C36"/>
    <mergeCell ref="D35:D36"/>
    <mergeCell ref="E35:E36"/>
    <mergeCell ref="G35:H36"/>
    <mergeCell ref="I35:I36"/>
    <mergeCell ref="J35:J36"/>
    <mergeCell ref="C33:C34"/>
    <mergeCell ref="D33:D34"/>
    <mergeCell ref="E33:E34"/>
    <mergeCell ref="G33:H34"/>
    <mergeCell ref="I33:I34"/>
    <mergeCell ref="G37:H38"/>
    <mergeCell ref="I37:I38"/>
    <mergeCell ref="H232:J232"/>
    <mergeCell ref="H229:J229"/>
    <mergeCell ref="H230:J230"/>
    <mergeCell ref="H231:J231"/>
    <mergeCell ref="D231:G231"/>
    <mergeCell ref="A231:C231"/>
    <mergeCell ref="A230:C230"/>
    <mergeCell ref="D232:G232"/>
    <mergeCell ref="A232:C232"/>
    <mergeCell ref="D230:G230"/>
    <mergeCell ref="J37:J38"/>
    <mergeCell ref="A38:B38"/>
    <mergeCell ref="A39:B39"/>
    <mergeCell ref="C39:C40"/>
    <mergeCell ref="D39:D40"/>
    <mergeCell ref="E39:E40"/>
    <mergeCell ref="G39:H40"/>
    <mergeCell ref="I39:I40"/>
    <mergeCell ref="J39:J40"/>
    <mergeCell ref="A40:B40"/>
    <mergeCell ref="J41:J42"/>
    <mergeCell ref="A42:B42"/>
    <mergeCell ref="A43:B43"/>
    <mergeCell ref="C43:C44"/>
    <mergeCell ref="D43:D44"/>
    <mergeCell ref="E43:E44"/>
    <mergeCell ref="G43:H44"/>
    <mergeCell ref="I43:I44"/>
    <mergeCell ref="J43:J44"/>
    <mergeCell ref="A41:B41"/>
    <mergeCell ref="C41:C42"/>
    <mergeCell ref="D41:D42"/>
    <mergeCell ref="E41:E42"/>
    <mergeCell ref="G41:H42"/>
    <mergeCell ref="I41:I42"/>
    <mergeCell ref="A44:B44"/>
    <mergeCell ref="J45:J46"/>
    <mergeCell ref="A46:B46"/>
    <mergeCell ref="A47:B47"/>
    <mergeCell ref="C47:C48"/>
    <mergeCell ref="D47:D48"/>
    <mergeCell ref="E47:E48"/>
    <mergeCell ref="G47:H48"/>
    <mergeCell ref="I47:I48"/>
    <mergeCell ref="J47:J48"/>
    <mergeCell ref="A48:B48"/>
    <mergeCell ref="A45:B45"/>
    <mergeCell ref="C45:C46"/>
    <mergeCell ref="D45:D46"/>
    <mergeCell ref="E45:E46"/>
    <mergeCell ref="G45:H46"/>
    <mergeCell ref="I45:I46"/>
    <mergeCell ref="J49:J50"/>
    <mergeCell ref="A50:B50"/>
    <mergeCell ref="A51:B51"/>
    <mergeCell ref="C51:C52"/>
    <mergeCell ref="D51:D52"/>
    <mergeCell ref="E51:E52"/>
    <mergeCell ref="G51:H52"/>
    <mergeCell ref="I51:I52"/>
    <mergeCell ref="J51:J52"/>
    <mergeCell ref="A49:B49"/>
    <mergeCell ref="C49:C50"/>
    <mergeCell ref="D49:D50"/>
    <mergeCell ref="E49:E50"/>
    <mergeCell ref="G49:H50"/>
    <mergeCell ref="I49:I50"/>
    <mergeCell ref="A52:B52"/>
    <mergeCell ref="J53:J54"/>
    <mergeCell ref="A54:B54"/>
    <mergeCell ref="A55:B55"/>
    <mergeCell ref="C55:C56"/>
    <mergeCell ref="D55:D56"/>
    <mergeCell ref="E55:E56"/>
    <mergeCell ref="G55:H56"/>
    <mergeCell ref="I55:I56"/>
    <mergeCell ref="J55:J56"/>
    <mergeCell ref="A56:B56"/>
    <mergeCell ref="A53:B53"/>
    <mergeCell ref="C53:C54"/>
    <mergeCell ref="D53:D54"/>
    <mergeCell ref="E53:E54"/>
    <mergeCell ref="G53:H54"/>
    <mergeCell ref="I53:I54"/>
    <mergeCell ref="J57:J58"/>
    <mergeCell ref="A58:B58"/>
    <mergeCell ref="A59:B59"/>
    <mergeCell ref="C59:C60"/>
    <mergeCell ref="D59:D60"/>
    <mergeCell ref="E59:E60"/>
    <mergeCell ref="G59:H60"/>
    <mergeCell ref="I59:I60"/>
    <mergeCell ref="J59:J60"/>
    <mergeCell ref="A57:B57"/>
    <mergeCell ref="C57:C58"/>
    <mergeCell ref="D57:D58"/>
    <mergeCell ref="E57:E58"/>
    <mergeCell ref="G57:H58"/>
    <mergeCell ref="I57:I58"/>
    <mergeCell ref="A60:B60"/>
    <mergeCell ref="J61:J62"/>
    <mergeCell ref="A62:B62"/>
    <mergeCell ref="A63:B63"/>
    <mergeCell ref="C63:C64"/>
    <mergeCell ref="D63:D64"/>
    <mergeCell ref="E63:E64"/>
    <mergeCell ref="G63:H64"/>
    <mergeCell ref="I63:I64"/>
    <mergeCell ref="J63:J64"/>
    <mergeCell ref="A64:B64"/>
    <mergeCell ref="A61:B61"/>
    <mergeCell ref="C61:C62"/>
    <mergeCell ref="D61:D62"/>
    <mergeCell ref="E61:E62"/>
    <mergeCell ref="G61:H62"/>
    <mergeCell ref="I61:I62"/>
    <mergeCell ref="J65:J66"/>
    <mergeCell ref="A66:B66"/>
    <mergeCell ref="A67:B67"/>
    <mergeCell ref="C67:C68"/>
    <mergeCell ref="D67:D68"/>
    <mergeCell ref="E67:E68"/>
    <mergeCell ref="G67:H68"/>
    <mergeCell ref="I67:I68"/>
    <mergeCell ref="J67:J68"/>
    <mergeCell ref="A65:B65"/>
    <mergeCell ref="C65:C66"/>
    <mergeCell ref="D65:D66"/>
    <mergeCell ref="E65:E66"/>
    <mergeCell ref="G65:H66"/>
    <mergeCell ref="I65:I66"/>
    <mergeCell ref="A68:B68"/>
    <mergeCell ref="J69:J70"/>
    <mergeCell ref="A70:B70"/>
    <mergeCell ref="A71:B71"/>
    <mergeCell ref="C71:C72"/>
    <mergeCell ref="D71:D72"/>
    <mergeCell ref="E71:E72"/>
    <mergeCell ref="G71:H72"/>
    <mergeCell ref="I71:I72"/>
    <mergeCell ref="J71:J72"/>
    <mergeCell ref="A72:B72"/>
    <mergeCell ref="A69:B69"/>
    <mergeCell ref="C69:C70"/>
    <mergeCell ref="D69:D70"/>
    <mergeCell ref="E69:E70"/>
    <mergeCell ref="G69:H70"/>
    <mergeCell ref="I69:I70"/>
    <mergeCell ref="J73:J74"/>
    <mergeCell ref="A74:B74"/>
    <mergeCell ref="A75:B75"/>
    <mergeCell ref="C75:C76"/>
    <mergeCell ref="D75:D76"/>
    <mergeCell ref="E75:E76"/>
    <mergeCell ref="G75:H76"/>
    <mergeCell ref="I75:I76"/>
    <mergeCell ref="J75:J76"/>
    <mergeCell ref="A73:B73"/>
    <mergeCell ref="C73:C74"/>
    <mergeCell ref="D73:D74"/>
    <mergeCell ref="E73:E74"/>
    <mergeCell ref="G73:H74"/>
    <mergeCell ref="I73:I74"/>
    <mergeCell ref="A76:B76"/>
    <mergeCell ref="J77:J78"/>
    <mergeCell ref="A78:B78"/>
    <mergeCell ref="A79:B79"/>
    <mergeCell ref="C79:C80"/>
    <mergeCell ref="D79:D80"/>
    <mergeCell ref="E79:E80"/>
    <mergeCell ref="G79:H80"/>
    <mergeCell ref="I79:I80"/>
    <mergeCell ref="J79:J80"/>
    <mergeCell ref="A80:B80"/>
    <mergeCell ref="A77:B77"/>
    <mergeCell ref="C77:C78"/>
    <mergeCell ref="D77:D78"/>
    <mergeCell ref="E77:E78"/>
    <mergeCell ref="G77:H78"/>
    <mergeCell ref="I77:I78"/>
    <mergeCell ref="J81:J82"/>
    <mergeCell ref="A82:B82"/>
    <mergeCell ref="A83:B83"/>
    <mergeCell ref="C83:C84"/>
    <mergeCell ref="D83:D84"/>
    <mergeCell ref="E83:E84"/>
    <mergeCell ref="G83:H84"/>
    <mergeCell ref="I83:I84"/>
    <mergeCell ref="J83:J84"/>
    <mergeCell ref="A81:B81"/>
    <mergeCell ref="C81:C82"/>
    <mergeCell ref="D81:D82"/>
    <mergeCell ref="E81:E82"/>
    <mergeCell ref="G81:H82"/>
    <mergeCell ref="I81:I82"/>
    <mergeCell ref="A84:B84"/>
    <mergeCell ref="J85:J86"/>
    <mergeCell ref="A86:B86"/>
    <mergeCell ref="A87:B87"/>
    <mergeCell ref="C87:C88"/>
    <mergeCell ref="D87:D88"/>
    <mergeCell ref="E87:E88"/>
    <mergeCell ref="G87:H88"/>
    <mergeCell ref="I87:I88"/>
    <mergeCell ref="J87:J88"/>
    <mergeCell ref="A88:B88"/>
    <mergeCell ref="A85:B85"/>
    <mergeCell ref="C85:C86"/>
    <mergeCell ref="D85:D86"/>
    <mergeCell ref="E85:E86"/>
    <mergeCell ref="G85:H86"/>
    <mergeCell ref="I85:I86"/>
    <mergeCell ref="J89:J90"/>
    <mergeCell ref="A90:B90"/>
    <mergeCell ref="A91:B91"/>
    <mergeCell ref="C91:C92"/>
    <mergeCell ref="D91:D92"/>
    <mergeCell ref="E91:E92"/>
    <mergeCell ref="G91:H92"/>
    <mergeCell ref="I91:I92"/>
    <mergeCell ref="J91:J92"/>
    <mergeCell ref="A89:B89"/>
    <mergeCell ref="C89:C90"/>
    <mergeCell ref="D89:D90"/>
    <mergeCell ref="E89:E90"/>
    <mergeCell ref="G89:H90"/>
    <mergeCell ref="I89:I90"/>
    <mergeCell ref="A92:B92"/>
    <mergeCell ref="J93:J94"/>
    <mergeCell ref="A94:B94"/>
    <mergeCell ref="A95:B95"/>
    <mergeCell ref="C95:C96"/>
    <mergeCell ref="D95:D96"/>
    <mergeCell ref="E95:E96"/>
    <mergeCell ref="G95:H96"/>
    <mergeCell ref="I95:I96"/>
    <mergeCell ref="J95:J96"/>
    <mergeCell ref="A96:B96"/>
    <mergeCell ref="A93:B93"/>
    <mergeCell ref="C93:C94"/>
    <mergeCell ref="D93:D94"/>
    <mergeCell ref="E93:E94"/>
    <mergeCell ref="G93:H94"/>
    <mergeCell ref="I93:I94"/>
    <mergeCell ref="J97:J98"/>
    <mergeCell ref="A98:B98"/>
    <mergeCell ref="A99:B99"/>
    <mergeCell ref="C99:C100"/>
    <mergeCell ref="D99:D100"/>
    <mergeCell ref="E99:E100"/>
    <mergeCell ref="G99:H100"/>
    <mergeCell ref="I99:I100"/>
    <mergeCell ref="J99:J100"/>
    <mergeCell ref="A97:B97"/>
    <mergeCell ref="C97:C98"/>
    <mergeCell ref="D97:D98"/>
    <mergeCell ref="E97:E98"/>
    <mergeCell ref="G97:H98"/>
    <mergeCell ref="I97:I98"/>
    <mergeCell ref="A100:B100"/>
    <mergeCell ref="J101:J102"/>
    <mergeCell ref="A102:B102"/>
    <mergeCell ref="A103:B103"/>
    <mergeCell ref="C103:C104"/>
    <mergeCell ref="D103:D104"/>
    <mergeCell ref="E103:E104"/>
    <mergeCell ref="G103:H104"/>
    <mergeCell ref="I103:I104"/>
    <mergeCell ref="J103:J104"/>
    <mergeCell ref="A104:B104"/>
    <mergeCell ref="A101:B101"/>
    <mergeCell ref="C101:C102"/>
    <mergeCell ref="D101:D102"/>
    <mergeCell ref="E101:E102"/>
    <mergeCell ref="G101:H102"/>
    <mergeCell ref="I101:I102"/>
    <mergeCell ref="J105:J106"/>
    <mergeCell ref="A106:B106"/>
    <mergeCell ref="A107:B107"/>
    <mergeCell ref="C107:C108"/>
    <mergeCell ref="D107:D108"/>
    <mergeCell ref="E107:E108"/>
    <mergeCell ref="G107:H108"/>
    <mergeCell ref="I107:I108"/>
    <mergeCell ref="J107:J108"/>
    <mergeCell ref="A105:B105"/>
    <mergeCell ref="C105:C106"/>
    <mergeCell ref="D105:D106"/>
    <mergeCell ref="E105:E106"/>
    <mergeCell ref="G105:H106"/>
    <mergeCell ref="I105:I106"/>
    <mergeCell ref="A108:B108"/>
    <mergeCell ref="J109:J110"/>
    <mergeCell ref="A110:B110"/>
    <mergeCell ref="A111:B111"/>
    <mergeCell ref="C111:C112"/>
    <mergeCell ref="D111:D112"/>
    <mergeCell ref="E111:E112"/>
    <mergeCell ref="G111:H112"/>
    <mergeCell ref="I111:I112"/>
    <mergeCell ref="J111:J112"/>
    <mergeCell ref="A112:B112"/>
    <mergeCell ref="A109:B109"/>
    <mergeCell ref="C109:C110"/>
    <mergeCell ref="D109:D110"/>
    <mergeCell ref="E109:E110"/>
    <mergeCell ref="G109:H110"/>
    <mergeCell ref="I109:I110"/>
    <mergeCell ref="J113:J114"/>
    <mergeCell ref="A114:B114"/>
    <mergeCell ref="A115:B115"/>
    <mergeCell ref="C115:C116"/>
    <mergeCell ref="D115:D116"/>
    <mergeCell ref="E115:E116"/>
    <mergeCell ref="G115:H116"/>
    <mergeCell ref="I115:I116"/>
    <mergeCell ref="J115:J116"/>
    <mergeCell ref="A113:B113"/>
    <mergeCell ref="C113:C114"/>
    <mergeCell ref="D113:D114"/>
    <mergeCell ref="E113:E114"/>
    <mergeCell ref="G113:H114"/>
    <mergeCell ref="I113:I114"/>
    <mergeCell ref="A116:B116"/>
    <mergeCell ref="J117:J118"/>
    <mergeCell ref="A118:B118"/>
    <mergeCell ref="A119:B119"/>
    <mergeCell ref="C119:C120"/>
    <mergeCell ref="D119:D120"/>
    <mergeCell ref="E119:E120"/>
    <mergeCell ref="G119:H120"/>
    <mergeCell ref="I119:I120"/>
    <mergeCell ref="J119:J120"/>
    <mergeCell ref="A120:B120"/>
    <mergeCell ref="A117:B117"/>
    <mergeCell ref="C117:C118"/>
    <mergeCell ref="D117:D118"/>
    <mergeCell ref="E117:E118"/>
    <mergeCell ref="G117:H118"/>
    <mergeCell ref="I117:I118"/>
    <mergeCell ref="J121:J122"/>
    <mergeCell ref="A122:B122"/>
    <mergeCell ref="A123:B123"/>
    <mergeCell ref="C123:C124"/>
    <mergeCell ref="D123:D124"/>
    <mergeCell ref="E123:E124"/>
    <mergeCell ref="G123:H124"/>
    <mergeCell ref="I123:I124"/>
    <mergeCell ref="J123:J124"/>
    <mergeCell ref="A121:B121"/>
    <mergeCell ref="C121:C122"/>
    <mergeCell ref="D121:D122"/>
    <mergeCell ref="E121:E122"/>
    <mergeCell ref="G121:H122"/>
    <mergeCell ref="I121:I122"/>
    <mergeCell ref="A124:B124"/>
    <mergeCell ref="J125:J126"/>
    <mergeCell ref="A126:B126"/>
    <mergeCell ref="A127:B127"/>
    <mergeCell ref="C127:C128"/>
    <mergeCell ref="D127:D128"/>
    <mergeCell ref="E127:E128"/>
    <mergeCell ref="G127:H128"/>
    <mergeCell ref="I127:I128"/>
    <mergeCell ref="J127:J128"/>
    <mergeCell ref="A128:B128"/>
    <mergeCell ref="A125:B125"/>
    <mergeCell ref="C125:C126"/>
    <mergeCell ref="D125:D126"/>
    <mergeCell ref="E125:E126"/>
    <mergeCell ref="G125:H126"/>
    <mergeCell ref="I125:I126"/>
    <mergeCell ref="J129:J130"/>
    <mergeCell ref="A130:B130"/>
    <mergeCell ref="A131:B131"/>
    <mergeCell ref="C131:C132"/>
    <mergeCell ref="D131:D132"/>
    <mergeCell ref="E131:E132"/>
    <mergeCell ref="G131:H132"/>
    <mergeCell ref="I131:I132"/>
    <mergeCell ref="J131:J132"/>
    <mergeCell ref="A129:B129"/>
    <mergeCell ref="C129:C130"/>
    <mergeCell ref="D129:D130"/>
    <mergeCell ref="E129:E130"/>
    <mergeCell ref="G129:H130"/>
    <mergeCell ref="I129:I130"/>
    <mergeCell ref="A132:B132"/>
    <mergeCell ref="J133:J134"/>
    <mergeCell ref="A134:B134"/>
    <mergeCell ref="A135:B135"/>
    <mergeCell ref="C135:C136"/>
    <mergeCell ref="D135:D136"/>
    <mergeCell ref="E135:E136"/>
    <mergeCell ref="G135:H136"/>
    <mergeCell ref="I135:I136"/>
    <mergeCell ref="J135:J136"/>
    <mergeCell ref="A136:B136"/>
    <mergeCell ref="A133:B133"/>
    <mergeCell ref="C133:C134"/>
    <mergeCell ref="D133:D134"/>
    <mergeCell ref="E133:E134"/>
    <mergeCell ref="G133:H134"/>
    <mergeCell ref="I133:I134"/>
    <mergeCell ref="J137:J138"/>
    <mergeCell ref="A138:B138"/>
    <mergeCell ref="A139:B139"/>
    <mergeCell ref="C139:C140"/>
    <mergeCell ref="D139:D140"/>
    <mergeCell ref="E139:E140"/>
    <mergeCell ref="G139:H140"/>
    <mergeCell ref="I139:I140"/>
    <mergeCell ref="J139:J140"/>
    <mergeCell ref="A137:B137"/>
    <mergeCell ref="C137:C138"/>
    <mergeCell ref="D137:D138"/>
    <mergeCell ref="E137:E138"/>
    <mergeCell ref="G137:H138"/>
    <mergeCell ref="I137:I138"/>
    <mergeCell ref="A140:B140"/>
    <mergeCell ref="J141:J142"/>
    <mergeCell ref="A142:B142"/>
    <mergeCell ref="A143:B143"/>
    <mergeCell ref="C143:C144"/>
    <mergeCell ref="D143:D144"/>
    <mergeCell ref="E143:E144"/>
    <mergeCell ref="G143:H144"/>
    <mergeCell ref="I143:I144"/>
    <mergeCell ref="J143:J144"/>
    <mergeCell ref="A144:B144"/>
    <mergeCell ref="A141:B141"/>
    <mergeCell ref="C141:C142"/>
    <mergeCell ref="D141:D142"/>
    <mergeCell ref="E141:E142"/>
    <mergeCell ref="G141:H142"/>
    <mergeCell ref="I141:I142"/>
    <mergeCell ref="J145:J146"/>
    <mergeCell ref="A146:B146"/>
    <mergeCell ref="A147:B147"/>
    <mergeCell ref="C147:C148"/>
    <mergeCell ref="D147:D148"/>
    <mergeCell ref="E147:E148"/>
    <mergeCell ref="G147:H148"/>
    <mergeCell ref="I147:I148"/>
    <mergeCell ref="J147:J148"/>
    <mergeCell ref="A145:B145"/>
    <mergeCell ref="C145:C146"/>
    <mergeCell ref="D145:D146"/>
    <mergeCell ref="E145:E146"/>
    <mergeCell ref="G145:H146"/>
    <mergeCell ref="I145:I146"/>
    <mergeCell ref="A148:B148"/>
    <mergeCell ref="J149:J150"/>
    <mergeCell ref="A150:B150"/>
    <mergeCell ref="A151:B151"/>
    <mergeCell ref="C151:C152"/>
    <mergeCell ref="D151:D152"/>
    <mergeCell ref="E151:E152"/>
    <mergeCell ref="G151:H152"/>
    <mergeCell ref="I151:I152"/>
    <mergeCell ref="J151:J152"/>
    <mergeCell ref="A152:B152"/>
    <mergeCell ref="A149:B149"/>
    <mergeCell ref="C149:C150"/>
    <mergeCell ref="D149:D150"/>
    <mergeCell ref="E149:E150"/>
    <mergeCell ref="G149:H150"/>
    <mergeCell ref="I149:I150"/>
    <mergeCell ref="J153:J154"/>
    <mergeCell ref="A154:B154"/>
    <mergeCell ref="A155:B155"/>
    <mergeCell ref="C155:C156"/>
    <mergeCell ref="D155:D156"/>
    <mergeCell ref="E155:E156"/>
    <mergeCell ref="G155:H156"/>
    <mergeCell ref="I155:I156"/>
    <mergeCell ref="J155:J156"/>
    <mergeCell ref="A153:B153"/>
    <mergeCell ref="C153:C154"/>
    <mergeCell ref="D153:D154"/>
    <mergeCell ref="E153:E154"/>
    <mergeCell ref="G153:H154"/>
    <mergeCell ref="I153:I154"/>
    <mergeCell ref="A156:B156"/>
    <mergeCell ref="J157:J158"/>
    <mergeCell ref="A158:B158"/>
    <mergeCell ref="A159:B159"/>
    <mergeCell ref="C159:C160"/>
    <mergeCell ref="D159:D160"/>
    <mergeCell ref="E159:E160"/>
    <mergeCell ref="G159:H160"/>
    <mergeCell ref="I159:I160"/>
    <mergeCell ref="J159:J160"/>
    <mergeCell ref="A160:B160"/>
    <mergeCell ref="A157:B157"/>
    <mergeCell ref="C157:C158"/>
    <mergeCell ref="D157:D158"/>
    <mergeCell ref="E157:E158"/>
    <mergeCell ref="G157:H158"/>
    <mergeCell ref="I157:I158"/>
    <mergeCell ref="J161:J162"/>
    <mergeCell ref="A162:B162"/>
    <mergeCell ref="A163:B163"/>
    <mergeCell ref="C163:C164"/>
    <mergeCell ref="D163:D164"/>
    <mergeCell ref="E163:E164"/>
    <mergeCell ref="G163:H164"/>
    <mergeCell ref="I163:I164"/>
    <mergeCell ref="J163:J164"/>
    <mergeCell ref="A161:B161"/>
    <mergeCell ref="C161:C162"/>
    <mergeCell ref="D161:D162"/>
    <mergeCell ref="E161:E162"/>
    <mergeCell ref="G161:H162"/>
    <mergeCell ref="I161:I162"/>
    <mergeCell ref="A164:B164"/>
    <mergeCell ref="J165:J166"/>
    <mergeCell ref="A166:B166"/>
    <mergeCell ref="A167:B167"/>
    <mergeCell ref="C167:C168"/>
    <mergeCell ref="D167:D168"/>
    <mergeCell ref="E167:E168"/>
    <mergeCell ref="G167:H168"/>
    <mergeCell ref="I167:I168"/>
    <mergeCell ref="J167:J168"/>
    <mergeCell ref="A168:B168"/>
    <mergeCell ref="A165:B165"/>
    <mergeCell ref="C165:C166"/>
    <mergeCell ref="D165:D166"/>
    <mergeCell ref="E165:E166"/>
    <mergeCell ref="G165:H166"/>
    <mergeCell ref="I165:I166"/>
    <mergeCell ref="J169:J170"/>
    <mergeCell ref="A170:B170"/>
    <mergeCell ref="A171:B171"/>
    <mergeCell ref="C171:C172"/>
    <mergeCell ref="D171:D172"/>
    <mergeCell ref="E171:E172"/>
    <mergeCell ref="G171:H172"/>
    <mergeCell ref="I171:I172"/>
    <mergeCell ref="J171:J172"/>
    <mergeCell ref="A169:B169"/>
    <mergeCell ref="C169:C170"/>
    <mergeCell ref="D169:D170"/>
    <mergeCell ref="E169:E170"/>
    <mergeCell ref="G169:H170"/>
    <mergeCell ref="I169:I170"/>
    <mergeCell ref="A172:B172"/>
    <mergeCell ref="J173:J174"/>
    <mergeCell ref="A174:B174"/>
    <mergeCell ref="A175:B175"/>
    <mergeCell ref="C175:C176"/>
    <mergeCell ref="D175:D176"/>
    <mergeCell ref="E175:E176"/>
    <mergeCell ref="G175:H176"/>
    <mergeCell ref="I175:I176"/>
    <mergeCell ref="J175:J176"/>
    <mergeCell ref="A176:B176"/>
    <mergeCell ref="A173:B173"/>
    <mergeCell ref="C173:C174"/>
    <mergeCell ref="D173:D174"/>
    <mergeCell ref="E173:E174"/>
    <mergeCell ref="G173:H174"/>
    <mergeCell ref="I173:I174"/>
    <mergeCell ref="J177:J178"/>
    <mergeCell ref="A178:B178"/>
    <mergeCell ref="A179:B179"/>
    <mergeCell ref="C179:C180"/>
    <mergeCell ref="D179:D180"/>
    <mergeCell ref="E179:E180"/>
    <mergeCell ref="G179:H180"/>
    <mergeCell ref="I179:I180"/>
    <mergeCell ref="J179:J180"/>
    <mergeCell ref="A177:B177"/>
    <mergeCell ref="C177:C178"/>
    <mergeCell ref="D177:D178"/>
    <mergeCell ref="E177:E178"/>
    <mergeCell ref="G177:H178"/>
    <mergeCell ref="I177:I178"/>
    <mergeCell ref="A180:B180"/>
    <mergeCell ref="J181:J182"/>
    <mergeCell ref="A182:B182"/>
    <mergeCell ref="A183:B183"/>
    <mergeCell ref="C183:C184"/>
    <mergeCell ref="D183:D184"/>
    <mergeCell ref="E183:E184"/>
    <mergeCell ref="G183:H184"/>
    <mergeCell ref="I183:I184"/>
    <mergeCell ref="J183:J184"/>
    <mergeCell ref="A184:B184"/>
    <mergeCell ref="A181:B181"/>
    <mergeCell ref="C181:C182"/>
    <mergeCell ref="D181:D182"/>
    <mergeCell ref="E181:E182"/>
    <mergeCell ref="G181:H182"/>
    <mergeCell ref="I181:I182"/>
    <mergeCell ref="J185:J186"/>
    <mergeCell ref="A186:B186"/>
    <mergeCell ref="A187:B187"/>
    <mergeCell ref="C187:C188"/>
    <mergeCell ref="D187:D188"/>
    <mergeCell ref="E187:E188"/>
    <mergeCell ref="G187:H188"/>
    <mergeCell ref="I187:I188"/>
    <mergeCell ref="J187:J188"/>
    <mergeCell ref="A185:B185"/>
    <mergeCell ref="C185:C186"/>
    <mergeCell ref="D185:D186"/>
    <mergeCell ref="E185:E186"/>
    <mergeCell ref="G185:H186"/>
    <mergeCell ref="I185:I186"/>
    <mergeCell ref="A188:B188"/>
    <mergeCell ref="J189:J190"/>
    <mergeCell ref="A190:B190"/>
    <mergeCell ref="A191:B191"/>
    <mergeCell ref="C191:C192"/>
    <mergeCell ref="D191:D192"/>
    <mergeCell ref="E191:E192"/>
    <mergeCell ref="G191:H192"/>
    <mergeCell ref="I191:I192"/>
    <mergeCell ref="J191:J192"/>
    <mergeCell ref="A192:B192"/>
    <mergeCell ref="A189:B189"/>
    <mergeCell ref="C189:C190"/>
    <mergeCell ref="D189:D190"/>
    <mergeCell ref="E189:E190"/>
    <mergeCell ref="G189:H190"/>
    <mergeCell ref="I189:I190"/>
    <mergeCell ref="J193:J194"/>
    <mergeCell ref="A194:B194"/>
    <mergeCell ref="A195:B195"/>
    <mergeCell ref="C195:C196"/>
    <mergeCell ref="D195:D196"/>
    <mergeCell ref="E195:E196"/>
    <mergeCell ref="G195:H196"/>
    <mergeCell ref="I195:I196"/>
    <mergeCell ref="J195:J196"/>
    <mergeCell ref="A193:B193"/>
    <mergeCell ref="C193:C194"/>
    <mergeCell ref="D193:D194"/>
    <mergeCell ref="E193:E194"/>
    <mergeCell ref="G193:H194"/>
    <mergeCell ref="I193:I194"/>
    <mergeCell ref="A196:B196"/>
    <mergeCell ref="J197:J198"/>
    <mergeCell ref="A198:B198"/>
    <mergeCell ref="A199:B199"/>
    <mergeCell ref="C199:C200"/>
    <mergeCell ref="D199:D200"/>
    <mergeCell ref="E199:E200"/>
    <mergeCell ref="G199:H200"/>
    <mergeCell ref="I199:I200"/>
    <mergeCell ref="J199:J200"/>
    <mergeCell ref="A200:B200"/>
    <mergeCell ref="A197:B197"/>
    <mergeCell ref="C197:C198"/>
    <mergeCell ref="D197:D198"/>
    <mergeCell ref="E197:E198"/>
    <mergeCell ref="G197:H198"/>
    <mergeCell ref="I197:I198"/>
    <mergeCell ref="J201:J202"/>
    <mergeCell ref="A202:B202"/>
    <mergeCell ref="A203:B203"/>
    <mergeCell ref="C203:C204"/>
    <mergeCell ref="D203:D204"/>
    <mergeCell ref="E203:E204"/>
    <mergeCell ref="G203:H204"/>
    <mergeCell ref="I203:I204"/>
    <mergeCell ref="J203:J204"/>
    <mergeCell ref="A201:B201"/>
    <mergeCell ref="C201:C202"/>
    <mergeCell ref="D201:D202"/>
    <mergeCell ref="E201:E202"/>
    <mergeCell ref="G201:H202"/>
    <mergeCell ref="I201:I202"/>
    <mergeCell ref="A204:B204"/>
    <mergeCell ref="J205:J206"/>
    <mergeCell ref="A206:B206"/>
    <mergeCell ref="A207:B207"/>
    <mergeCell ref="C207:C208"/>
    <mergeCell ref="D207:D208"/>
    <mergeCell ref="E207:E208"/>
    <mergeCell ref="G207:H208"/>
    <mergeCell ref="I207:I208"/>
    <mergeCell ref="J207:J208"/>
    <mergeCell ref="A208:B208"/>
    <mergeCell ref="A205:B205"/>
    <mergeCell ref="C205:C206"/>
    <mergeCell ref="D205:D206"/>
    <mergeCell ref="E205:E206"/>
    <mergeCell ref="G205:H206"/>
    <mergeCell ref="I205:I206"/>
    <mergeCell ref="J209:J210"/>
    <mergeCell ref="A210:B210"/>
    <mergeCell ref="A211:B211"/>
    <mergeCell ref="C211:C212"/>
    <mergeCell ref="D211:D212"/>
    <mergeCell ref="E211:E212"/>
    <mergeCell ref="G211:H212"/>
    <mergeCell ref="I211:I212"/>
    <mergeCell ref="J211:J212"/>
    <mergeCell ref="A209:B209"/>
    <mergeCell ref="C209:C210"/>
    <mergeCell ref="D209:D210"/>
    <mergeCell ref="E209:E210"/>
    <mergeCell ref="G209:H210"/>
    <mergeCell ref="I209:I210"/>
    <mergeCell ref="A212:B212"/>
    <mergeCell ref="J213:J214"/>
    <mergeCell ref="A214:B214"/>
    <mergeCell ref="A215:B215"/>
    <mergeCell ref="C215:C216"/>
    <mergeCell ref="D215:D216"/>
    <mergeCell ref="E215:E216"/>
    <mergeCell ref="G215:H216"/>
    <mergeCell ref="I215:I216"/>
    <mergeCell ref="J215:J216"/>
    <mergeCell ref="A216:B216"/>
    <mergeCell ref="A213:B213"/>
    <mergeCell ref="C213:C214"/>
    <mergeCell ref="D213:D214"/>
    <mergeCell ref="E213:E214"/>
    <mergeCell ref="G213:H214"/>
    <mergeCell ref="I213:I214"/>
    <mergeCell ref="A217:B217"/>
    <mergeCell ref="C217:C218"/>
    <mergeCell ref="D217:D218"/>
    <mergeCell ref="E217:E218"/>
    <mergeCell ref="G217:H218"/>
    <mergeCell ref="I217:I218"/>
    <mergeCell ref="J217:J218"/>
    <mergeCell ref="A218:B218"/>
    <mergeCell ref="A219:B219"/>
    <mergeCell ref="C219:C220"/>
    <mergeCell ref="D219:D220"/>
    <mergeCell ref="E219:E220"/>
    <mergeCell ref="G219:H220"/>
    <mergeCell ref="I219:I220"/>
    <mergeCell ref="J219:J220"/>
    <mergeCell ref="G221:H222"/>
    <mergeCell ref="I221:I222"/>
    <mergeCell ref="J221:J222"/>
    <mergeCell ref="A222:B222"/>
    <mergeCell ref="A220:B220"/>
    <mergeCell ref="A221:B221"/>
    <mergeCell ref="C221:C222"/>
    <mergeCell ref="D221:D222"/>
    <mergeCell ref="E221:E222"/>
  </mergeCells>
  <printOptions horizontalCentered="1"/>
  <pageMargins left="0.62992125984252001" right="0.23622047244094499" top="0.43307086614173201" bottom="0.511811023622047" header="0.31496062992126" footer="0.31496062992126"/>
  <pageSetup paperSize="9" scale="35" orientation="portrait" useFirstPageNumber="1" horizontalDpi="300" verticalDpi="300" r:id="rId1"/>
  <headerFooter>
    <oddFooter>&amp;C&amp;16&amp;P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99"/>
    <pageSetUpPr fitToPage="1"/>
  </sheetPr>
  <dimension ref="A1:L228"/>
  <sheetViews>
    <sheetView view="pageBreakPreview" topLeftCell="A213" zoomScale="40" zoomScaleNormal="55" zoomScaleSheetLayoutView="40" workbookViewId="0">
      <selection activeCell="A219" sqref="A219:XFD219"/>
    </sheetView>
  </sheetViews>
  <sheetFormatPr defaultColWidth="11.42578125" defaultRowHeight="15" x14ac:dyDescent="0.25"/>
  <cols>
    <col min="1" max="3" width="25.7109375" customWidth="1"/>
    <col min="4" max="4" width="31.140625" customWidth="1"/>
    <col min="5" max="9" width="25.7109375" customWidth="1"/>
    <col min="10" max="10" width="7.7109375" customWidth="1"/>
    <col min="11" max="11" width="31.42578125" customWidth="1"/>
    <col min="12" max="12" width="49.85546875" style="29" customWidth="1"/>
  </cols>
  <sheetData>
    <row r="1" spans="1:12" ht="15.75" thickBot="1" x14ac:dyDescent="0.3">
      <c r="F1" s="1"/>
      <c r="G1" s="1"/>
      <c r="H1" s="1"/>
      <c r="I1" s="1"/>
      <c r="J1" s="1"/>
      <c r="K1" s="1"/>
      <c r="L1" s="1"/>
    </row>
    <row r="2" spans="1:12" ht="15.75" thickTop="1" x14ac:dyDescent="0.25">
      <c r="A2" s="42"/>
      <c r="B2" s="43"/>
      <c r="C2" s="43"/>
      <c r="D2" s="43"/>
      <c r="E2" s="43"/>
      <c r="F2" s="44"/>
      <c r="G2" s="44"/>
      <c r="H2" s="44"/>
      <c r="I2" s="44"/>
      <c r="J2" s="44"/>
      <c r="K2" s="44"/>
      <c r="L2" s="45"/>
    </row>
    <row r="3" spans="1:12" ht="55.5" customHeight="1" x14ac:dyDescent="0.25">
      <c r="A3" s="46"/>
      <c r="B3" s="47"/>
      <c r="C3" s="48"/>
      <c r="D3" s="304" t="s">
        <v>108</v>
      </c>
      <c r="E3" s="305"/>
      <c r="F3" s="305"/>
      <c r="G3" s="305"/>
      <c r="H3" s="305"/>
      <c r="I3" s="305"/>
      <c r="J3" s="48"/>
      <c r="K3" s="49" t="s">
        <v>46</v>
      </c>
      <c r="L3" s="50" t="s">
        <v>77</v>
      </c>
    </row>
    <row r="4" spans="1:12" ht="55.5" customHeight="1" x14ac:dyDescent="0.25">
      <c r="A4" s="46"/>
      <c r="B4" s="47"/>
      <c r="C4" s="48"/>
      <c r="D4" s="305"/>
      <c r="E4" s="305"/>
      <c r="F4" s="305"/>
      <c r="G4" s="305"/>
      <c r="H4" s="305"/>
      <c r="I4" s="305"/>
      <c r="J4" s="48"/>
      <c r="K4" s="51" t="s">
        <v>47</v>
      </c>
      <c r="L4" s="50" t="s">
        <v>76</v>
      </c>
    </row>
    <row r="5" spans="1:12" ht="55.5" customHeight="1" x14ac:dyDescent="0.25">
      <c r="A5" s="52"/>
      <c r="B5" s="53"/>
      <c r="C5" s="54"/>
      <c r="D5" s="306" t="s">
        <v>16</v>
      </c>
      <c r="E5" s="306"/>
      <c r="F5" s="306"/>
      <c r="G5" s="306"/>
      <c r="H5" s="306"/>
      <c r="I5" s="306"/>
      <c r="J5" s="54"/>
      <c r="K5" s="55" t="s">
        <v>48</v>
      </c>
      <c r="L5" s="57" t="s">
        <v>115</v>
      </c>
    </row>
    <row r="6" spans="1:12" ht="7.5" customHeight="1" thickBot="1" x14ac:dyDescent="0.3">
      <c r="A6" s="5"/>
      <c r="B6" s="2"/>
      <c r="C6" s="2"/>
      <c r="D6" s="2"/>
      <c r="E6" s="2"/>
      <c r="F6" s="307"/>
      <c r="G6" s="307"/>
      <c r="H6" s="21"/>
      <c r="I6" s="21"/>
      <c r="J6" s="3"/>
      <c r="K6" s="3"/>
      <c r="L6" s="24"/>
    </row>
    <row r="7" spans="1:12" ht="25.5" x14ac:dyDescent="0.25">
      <c r="A7" s="6"/>
      <c r="B7" s="1"/>
      <c r="C7" s="1"/>
      <c r="D7" s="1"/>
      <c r="E7" s="1"/>
      <c r="F7" s="4"/>
      <c r="G7" s="4"/>
      <c r="H7" s="4"/>
      <c r="I7" s="4"/>
      <c r="J7" s="4"/>
      <c r="K7" s="4"/>
      <c r="L7" s="25"/>
    </row>
    <row r="8" spans="1:12" ht="25.5" customHeight="1" x14ac:dyDescent="0.25">
      <c r="A8" s="6"/>
      <c r="B8" s="31"/>
      <c r="C8" s="32"/>
      <c r="D8" s="32"/>
      <c r="E8" s="32"/>
      <c r="F8" s="32"/>
      <c r="G8" s="32"/>
      <c r="H8" s="32"/>
      <c r="I8" s="32"/>
      <c r="J8" s="32"/>
      <c r="K8" s="32"/>
      <c r="L8" s="33"/>
    </row>
    <row r="9" spans="1:12" ht="25.5" customHeight="1" x14ac:dyDescent="0.25">
      <c r="A9" s="6"/>
      <c r="B9" s="34"/>
      <c r="C9" s="35"/>
      <c r="D9" s="35"/>
      <c r="E9" s="35"/>
      <c r="F9" s="35"/>
      <c r="G9" s="35"/>
      <c r="H9" s="35"/>
      <c r="I9" s="35"/>
      <c r="J9" s="35"/>
      <c r="K9" s="35"/>
      <c r="L9" s="36"/>
    </row>
    <row r="10" spans="1:12" ht="25.5" customHeight="1" x14ac:dyDescent="0.25">
      <c r="A10" s="6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6"/>
    </row>
    <row r="11" spans="1:12" ht="25.5" customHeight="1" x14ac:dyDescent="0.25">
      <c r="A11" s="6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6"/>
    </row>
    <row r="12" spans="1:12" ht="25.5" customHeight="1" x14ac:dyDescent="0.25">
      <c r="A12" s="6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6"/>
    </row>
    <row r="13" spans="1:12" ht="25.5" customHeight="1" x14ac:dyDescent="0.25">
      <c r="A13" s="6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6"/>
    </row>
    <row r="14" spans="1:12" ht="25.5" customHeight="1" x14ac:dyDescent="0.25">
      <c r="A14" s="6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6"/>
    </row>
    <row r="15" spans="1:12" ht="25.5" customHeight="1" x14ac:dyDescent="0.25">
      <c r="A15" s="6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6"/>
    </row>
    <row r="16" spans="1:12" ht="25.5" customHeight="1" x14ac:dyDescent="0.25">
      <c r="A16" s="6"/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6"/>
    </row>
    <row r="17" spans="1:12" ht="25.5" customHeight="1" x14ac:dyDescent="0.25">
      <c r="A17" s="6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6"/>
    </row>
    <row r="18" spans="1:12" ht="25.5" customHeight="1" x14ac:dyDescent="0.25">
      <c r="A18" s="6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6"/>
    </row>
    <row r="19" spans="1:12" ht="25.5" customHeight="1" x14ac:dyDescent="0.25">
      <c r="A19" s="6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6"/>
    </row>
    <row r="20" spans="1:12" ht="44.25" customHeight="1" thickBot="1" x14ac:dyDescent="0.3">
      <c r="A20" s="6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9"/>
    </row>
    <row r="21" spans="1:12" ht="60.75" customHeight="1" thickBot="1" x14ac:dyDescent="0.3">
      <c r="A21" s="308" t="s">
        <v>49</v>
      </c>
      <c r="B21" s="290"/>
      <c r="C21" s="309"/>
      <c r="D21" s="7" t="s">
        <v>50</v>
      </c>
      <c r="E21" s="30" t="s">
        <v>51</v>
      </c>
      <c r="F21" s="8" t="s">
        <v>52</v>
      </c>
      <c r="G21" s="8" t="s">
        <v>53</v>
      </c>
      <c r="H21" s="30" t="s">
        <v>54</v>
      </c>
      <c r="I21" s="30" t="s">
        <v>55</v>
      </c>
      <c r="J21" s="289" t="s">
        <v>56</v>
      </c>
      <c r="K21" s="290"/>
      <c r="L21" s="291"/>
    </row>
    <row r="22" spans="1:12" ht="26.25" customHeight="1" x14ac:dyDescent="0.25">
      <c r="A22" s="9"/>
      <c r="B22" s="22"/>
      <c r="C22" s="10"/>
      <c r="D22" s="11"/>
      <c r="E22" s="17"/>
      <c r="F22" s="12"/>
      <c r="G22" s="12"/>
      <c r="H22" s="14"/>
      <c r="I22" s="14"/>
      <c r="J22" s="13"/>
      <c r="K22" s="26"/>
      <c r="L22" s="27"/>
    </row>
    <row r="23" spans="1:12" ht="105" customHeight="1" x14ac:dyDescent="0.25">
      <c r="A23" s="255" t="s">
        <v>79</v>
      </c>
      <c r="B23" s="310"/>
      <c r="C23" s="311"/>
      <c r="D23" s="191" t="s">
        <v>93</v>
      </c>
      <c r="E23" s="258" t="s">
        <v>96</v>
      </c>
      <c r="F23" s="260">
        <v>12</v>
      </c>
      <c r="G23" s="56"/>
      <c r="H23" s="245"/>
      <c r="I23" s="245"/>
      <c r="J23" s="247"/>
      <c r="K23" s="248"/>
      <c r="L23" s="249"/>
    </row>
    <row r="24" spans="1:12" ht="105" customHeight="1" x14ac:dyDescent="0.25">
      <c r="A24" s="253" t="s">
        <v>80</v>
      </c>
      <c r="B24" s="254"/>
      <c r="C24" s="188"/>
      <c r="D24" s="191"/>
      <c r="E24" s="259"/>
      <c r="F24" s="260"/>
      <c r="G24" s="41"/>
      <c r="H24" s="246"/>
      <c r="I24" s="246"/>
      <c r="J24" s="250"/>
      <c r="K24" s="251"/>
      <c r="L24" s="252"/>
    </row>
    <row r="25" spans="1:12" ht="105" customHeight="1" x14ac:dyDescent="0.25">
      <c r="A25" s="255" t="s">
        <v>81</v>
      </c>
      <c r="B25" s="256"/>
      <c r="C25" s="257"/>
      <c r="D25" s="191" t="s">
        <v>94</v>
      </c>
      <c r="E25" s="258" t="s">
        <v>97</v>
      </c>
      <c r="F25" s="260">
        <v>2</v>
      </c>
      <c r="G25" s="56"/>
      <c r="H25" s="245"/>
      <c r="I25" s="245"/>
      <c r="J25" s="247"/>
      <c r="K25" s="248"/>
      <c r="L25" s="249"/>
    </row>
    <row r="26" spans="1:12" ht="105" customHeight="1" x14ac:dyDescent="0.25">
      <c r="A26" s="253" t="s">
        <v>82</v>
      </c>
      <c r="B26" s="254"/>
      <c r="C26" s="188"/>
      <c r="D26" s="191"/>
      <c r="E26" s="259"/>
      <c r="F26" s="260"/>
      <c r="G26" s="41"/>
      <c r="H26" s="246"/>
      <c r="I26" s="246"/>
      <c r="J26" s="250"/>
      <c r="K26" s="251"/>
      <c r="L26" s="252"/>
    </row>
    <row r="27" spans="1:12" ht="105" customHeight="1" x14ac:dyDescent="0.25">
      <c r="A27" s="255" t="s">
        <v>83</v>
      </c>
      <c r="B27" s="256"/>
      <c r="C27" s="257"/>
      <c r="D27" s="191" t="s">
        <v>95</v>
      </c>
      <c r="E27" s="258" t="s">
        <v>97</v>
      </c>
      <c r="F27" s="260">
        <v>30</v>
      </c>
      <c r="G27" s="56"/>
      <c r="H27" s="245"/>
      <c r="I27" s="245"/>
      <c r="J27" s="247"/>
      <c r="K27" s="248"/>
      <c r="L27" s="249"/>
    </row>
    <row r="28" spans="1:12" ht="105" customHeight="1" x14ac:dyDescent="0.25">
      <c r="A28" s="253" t="s">
        <v>84</v>
      </c>
      <c r="B28" s="254"/>
      <c r="C28" s="188"/>
      <c r="D28" s="191"/>
      <c r="E28" s="259"/>
      <c r="F28" s="260"/>
      <c r="G28" s="41"/>
      <c r="H28" s="246"/>
      <c r="I28" s="246"/>
      <c r="J28" s="250"/>
      <c r="K28" s="251"/>
      <c r="L28" s="252"/>
    </row>
    <row r="29" spans="1:12" ht="105" customHeight="1" x14ac:dyDescent="0.25">
      <c r="A29" s="274" t="s">
        <v>85</v>
      </c>
      <c r="B29" s="257"/>
      <c r="C29" s="190"/>
      <c r="D29" s="191" t="s">
        <v>93</v>
      </c>
      <c r="E29" s="258" t="s">
        <v>96</v>
      </c>
      <c r="F29" s="260">
        <v>2</v>
      </c>
      <c r="G29" s="56"/>
      <c r="H29" s="245"/>
      <c r="I29" s="245"/>
      <c r="J29" s="247"/>
      <c r="K29" s="248"/>
      <c r="L29" s="249"/>
    </row>
    <row r="30" spans="1:12" ht="105" customHeight="1" x14ac:dyDescent="0.25">
      <c r="A30" s="270" t="s">
        <v>86</v>
      </c>
      <c r="B30" s="188"/>
      <c r="C30" s="271"/>
      <c r="D30" s="191"/>
      <c r="E30" s="259"/>
      <c r="F30" s="260"/>
      <c r="G30" s="41"/>
      <c r="H30" s="246"/>
      <c r="I30" s="246"/>
      <c r="J30" s="250"/>
      <c r="K30" s="251"/>
      <c r="L30" s="252"/>
    </row>
    <row r="31" spans="1:12" ht="105" customHeight="1" x14ac:dyDescent="0.25">
      <c r="A31" s="255" t="s">
        <v>87</v>
      </c>
      <c r="B31" s="256"/>
      <c r="C31" s="257"/>
      <c r="D31" s="191" t="s">
        <v>94</v>
      </c>
      <c r="E31" s="272" t="s">
        <v>96</v>
      </c>
      <c r="F31" s="267">
        <v>2</v>
      </c>
      <c r="G31" s="56"/>
      <c r="H31" s="245"/>
      <c r="I31" s="245"/>
      <c r="J31" s="247"/>
      <c r="K31" s="248"/>
      <c r="L31" s="249"/>
    </row>
    <row r="32" spans="1:12" ht="105" customHeight="1" x14ac:dyDescent="0.25">
      <c r="A32" s="253" t="s">
        <v>88</v>
      </c>
      <c r="B32" s="254"/>
      <c r="C32" s="188"/>
      <c r="D32" s="191"/>
      <c r="E32" s="273"/>
      <c r="F32" s="268"/>
      <c r="G32" s="41"/>
      <c r="H32" s="246"/>
      <c r="I32" s="246"/>
      <c r="J32" s="250"/>
      <c r="K32" s="251"/>
      <c r="L32" s="252"/>
    </row>
    <row r="33" spans="1:12" ht="105" customHeight="1" x14ac:dyDescent="0.25">
      <c r="A33" s="255" t="s">
        <v>89</v>
      </c>
      <c r="B33" s="256"/>
      <c r="C33" s="257"/>
      <c r="D33" s="191" t="s">
        <v>94</v>
      </c>
      <c r="E33" s="258" t="s">
        <v>98</v>
      </c>
      <c r="F33" s="260">
        <v>2</v>
      </c>
      <c r="G33" s="56"/>
      <c r="H33" s="245"/>
      <c r="I33" s="245"/>
      <c r="J33" s="247"/>
      <c r="K33" s="248"/>
      <c r="L33" s="249"/>
    </row>
    <row r="34" spans="1:12" ht="105" customHeight="1" x14ac:dyDescent="0.25">
      <c r="A34" s="253" t="s">
        <v>90</v>
      </c>
      <c r="B34" s="254"/>
      <c r="C34" s="188"/>
      <c r="D34" s="191"/>
      <c r="E34" s="259"/>
      <c r="F34" s="260"/>
      <c r="G34" s="41"/>
      <c r="H34" s="246"/>
      <c r="I34" s="246"/>
      <c r="J34" s="250"/>
      <c r="K34" s="251"/>
      <c r="L34" s="252"/>
    </row>
    <row r="35" spans="1:12" ht="105" customHeight="1" x14ac:dyDescent="0.25">
      <c r="A35" s="261" t="s">
        <v>91</v>
      </c>
      <c r="B35" s="262"/>
      <c r="C35" s="263"/>
      <c r="D35" s="264" t="s">
        <v>93</v>
      </c>
      <c r="E35" s="265" t="s">
        <v>99</v>
      </c>
      <c r="F35" s="267">
        <v>1</v>
      </c>
      <c r="G35" s="56"/>
      <c r="H35" s="245"/>
      <c r="I35" s="245"/>
      <c r="J35" s="247"/>
      <c r="K35" s="248"/>
      <c r="L35" s="249"/>
    </row>
    <row r="36" spans="1:12" ht="105" customHeight="1" x14ac:dyDescent="0.25">
      <c r="A36" s="269" t="s">
        <v>92</v>
      </c>
      <c r="B36" s="262"/>
      <c r="C36" s="263"/>
      <c r="D36" s="191"/>
      <c r="E36" s="266"/>
      <c r="F36" s="268"/>
      <c r="G36" s="41"/>
      <c r="H36" s="246"/>
      <c r="I36" s="246"/>
      <c r="J36" s="250"/>
      <c r="K36" s="251"/>
      <c r="L36" s="252"/>
    </row>
    <row r="37" spans="1:12" ht="105" customHeight="1" x14ac:dyDescent="0.25">
      <c r="A37" s="255"/>
      <c r="B37" s="256"/>
      <c r="C37" s="257"/>
      <c r="D37" s="191"/>
      <c r="E37" s="258"/>
      <c r="F37" s="260"/>
      <c r="G37" s="56"/>
      <c r="H37" s="245"/>
      <c r="I37" s="245"/>
      <c r="J37" s="247"/>
      <c r="K37" s="248"/>
      <c r="L37" s="249"/>
    </row>
    <row r="38" spans="1:12" ht="105" customHeight="1" x14ac:dyDescent="0.25">
      <c r="A38" s="253"/>
      <c r="B38" s="254"/>
      <c r="C38" s="188"/>
      <c r="D38" s="191"/>
      <c r="E38" s="259"/>
      <c r="F38" s="260"/>
      <c r="G38" s="41"/>
      <c r="H38" s="246"/>
      <c r="I38" s="246"/>
      <c r="J38" s="250"/>
      <c r="K38" s="251"/>
      <c r="L38" s="252"/>
    </row>
    <row r="39" spans="1:12" ht="105" customHeight="1" x14ac:dyDescent="0.25">
      <c r="A39" s="255"/>
      <c r="B39" s="256"/>
      <c r="C39" s="257"/>
      <c r="D39" s="191"/>
      <c r="E39" s="258"/>
      <c r="F39" s="260"/>
      <c r="G39" s="56"/>
      <c r="H39" s="245"/>
      <c r="I39" s="245"/>
      <c r="J39" s="247"/>
      <c r="K39" s="248"/>
      <c r="L39" s="249"/>
    </row>
    <row r="40" spans="1:12" ht="105" customHeight="1" x14ac:dyDescent="0.25">
      <c r="A40" s="253"/>
      <c r="B40" s="254"/>
      <c r="C40" s="188"/>
      <c r="D40" s="191"/>
      <c r="E40" s="259"/>
      <c r="F40" s="260"/>
      <c r="G40" s="41"/>
      <c r="H40" s="246"/>
      <c r="I40" s="246"/>
      <c r="J40" s="250"/>
      <c r="K40" s="251"/>
      <c r="L40" s="252"/>
    </row>
    <row r="41" spans="1:12" ht="105" customHeight="1" x14ac:dyDescent="0.25">
      <c r="A41" s="255"/>
      <c r="B41" s="256"/>
      <c r="C41" s="257"/>
      <c r="D41" s="191"/>
      <c r="E41" s="258"/>
      <c r="F41" s="260"/>
      <c r="G41" s="56"/>
      <c r="H41" s="245"/>
      <c r="I41" s="245"/>
      <c r="J41" s="247"/>
      <c r="K41" s="248"/>
      <c r="L41" s="249"/>
    </row>
    <row r="42" spans="1:12" ht="105" customHeight="1" x14ac:dyDescent="0.25">
      <c r="A42" s="253"/>
      <c r="B42" s="254"/>
      <c r="C42" s="188"/>
      <c r="D42" s="191"/>
      <c r="E42" s="259"/>
      <c r="F42" s="260"/>
      <c r="G42" s="41"/>
      <c r="H42" s="246"/>
      <c r="I42" s="246"/>
      <c r="J42" s="250"/>
      <c r="K42" s="251"/>
      <c r="L42" s="252"/>
    </row>
    <row r="43" spans="1:12" ht="105" customHeight="1" x14ac:dyDescent="0.25">
      <c r="A43" s="274"/>
      <c r="B43" s="257"/>
      <c r="C43" s="190"/>
      <c r="D43" s="191"/>
      <c r="E43" s="258"/>
      <c r="F43" s="260"/>
      <c r="G43" s="56"/>
      <c r="H43" s="245"/>
      <c r="I43" s="245"/>
      <c r="J43" s="247"/>
      <c r="K43" s="248"/>
      <c r="L43" s="249"/>
    </row>
    <row r="44" spans="1:12" ht="105" customHeight="1" x14ac:dyDescent="0.25">
      <c r="A44" s="270"/>
      <c r="B44" s="188"/>
      <c r="C44" s="271"/>
      <c r="D44" s="191"/>
      <c r="E44" s="259"/>
      <c r="F44" s="260"/>
      <c r="G44" s="41"/>
      <c r="H44" s="246"/>
      <c r="I44" s="246"/>
      <c r="J44" s="250"/>
      <c r="K44" s="251"/>
      <c r="L44" s="252"/>
    </row>
    <row r="45" spans="1:12" ht="105" customHeight="1" x14ac:dyDescent="0.25">
      <c r="A45" s="255"/>
      <c r="B45" s="256"/>
      <c r="C45" s="257"/>
      <c r="D45" s="191"/>
      <c r="E45" s="272"/>
      <c r="F45" s="267"/>
      <c r="G45" s="56"/>
      <c r="H45" s="245"/>
      <c r="I45" s="245"/>
      <c r="J45" s="247"/>
      <c r="K45" s="248"/>
      <c r="L45" s="249"/>
    </row>
    <row r="46" spans="1:12" ht="105" customHeight="1" x14ac:dyDescent="0.25">
      <c r="A46" s="253"/>
      <c r="B46" s="254"/>
      <c r="C46" s="188"/>
      <c r="D46" s="191"/>
      <c r="E46" s="273"/>
      <c r="F46" s="268"/>
      <c r="G46" s="41"/>
      <c r="H46" s="246"/>
      <c r="I46" s="246"/>
      <c r="J46" s="250"/>
      <c r="K46" s="251"/>
      <c r="L46" s="252"/>
    </row>
    <row r="47" spans="1:12" ht="105" customHeight="1" x14ac:dyDescent="0.25">
      <c r="A47" s="255"/>
      <c r="B47" s="256"/>
      <c r="C47" s="257"/>
      <c r="D47" s="191"/>
      <c r="E47" s="258"/>
      <c r="F47" s="260"/>
      <c r="G47" s="56"/>
      <c r="H47" s="245"/>
      <c r="I47" s="245"/>
      <c r="J47" s="247"/>
      <c r="K47" s="248"/>
      <c r="L47" s="249"/>
    </row>
    <row r="48" spans="1:12" ht="105" customHeight="1" x14ac:dyDescent="0.25">
      <c r="A48" s="253"/>
      <c r="B48" s="254"/>
      <c r="C48" s="188"/>
      <c r="D48" s="191"/>
      <c r="E48" s="259"/>
      <c r="F48" s="260"/>
      <c r="G48" s="41"/>
      <c r="H48" s="246"/>
      <c r="I48" s="246"/>
      <c r="J48" s="250"/>
      <c r="K48" s="251"/>
      <c r="L48" s="252"/>
    </row>
    <row r="49" spans="1:12" ht="105" customHeight="1" x14ac:dyDescent="0.25">
      <c r="A49" s="261"/>
      <c r="B49" s="262"/>
      <c r="C49" s="263"/>
      <c r="D49" s="264"/>
      <c r="E49" s="265"/>
      <c r="F49" s="267"/>
      <c r="G49" s="56"/>
      <c r="H49" s="245"/>
      <c r="I49" s="245"/>
      <c r="J49" s="247"/>
      <c r="K49" s="248"/>
      <c r="L49" s="249"/>
    </row>
    <row r="50" spans="1:12" ht="105" customHeight="1" x14ac:dyDescent="0.25">
      <c r="A50" s="269"/>
      <c r="B50" s="262"/>
      <c r="C50" s="263"/>
      <c r="D50" s="191"/>
      <c r="E50" s="266"/>
      <c r="F50" s="268"/>
      <c r="G50" s="41"/>
      <c r="H50" s="246"/>
      <c r="I50" s="246"/>
      <c r="J50" s="250"/>
      <c r="K50" s="251"/>
      <c r="L50" s="252"/>
    </row>
    <row r="51" spans="1:12" ht="105" customHeight="1" x14ac:dyDescent="0.25">
      <c r="A51" s="255"/>
      <c r="B51" s="256"/>
      <c r="C51" s="257"/>
      <c r="D51" s="191"/>
      <c r="E51" s="258"/>
      <c r="F51" s="260"/>
      <c r="G51" s="56"/>
      <c r="H51" s="245"/>
      <c r="I51" s="245"/>
      <c r="J51" s="247"/>
      <c r="K51" s="248"/>
      <c r="L51" s="249"/>
    </row>
    <row r="52" spans="1:12" ht="105" customHeight="1" x14ac:dyDescent="0.25">
      <c r="A52" s="253"/>
      <c r="B52" s="254"/>
      <c r="C52" s="188"/>
      <c r="D52" s="191"/>
      <c r="E52" s="259"/>
      <c r="F52" s="260"/>
      <c r="G52" s="41"/>
      <c r="H52" s="246"/>
      <c r="I52" s="246"/>
      <c r="J52" s="250"/>
      <c r="K52" s="251"/>
      <c r="L52" s="252"/>
    </row>
    <row r="53" spans="1:12" ht="105" customHeight="1" x14ac:dyDescent="0.25">
      <c r="A53" s="255"/>
      <c r="B53" s="256"/>
      <c r="C53" s="257"/>
      <c r="D53" s="191"/>
      <c r="E53" s="258"/>
      <c r="F53" s="260"/>
      <c r="G53" s="56"/>
      <c r="H53" s="245"/>
      <c r="I53" s="245"/>
      <c r="J53" s="247"/>
      <c r="K53" s="248"/>
      <c r="L53" s="249"/>
    </row>
    <row r="54" spans="1:12" ht="105" customHeight="1" x14ac:dyDescent="0.25">
      <c r="A54" s="253"/>
      <c r="B54" s="254"/>
      <c r="C54" s="188"/>
      <c r="D54" s="191"/>
      <c r="E54" s="259"/>
      <c r="F54" s="260"/>
      <c r="G54" s="41"/>
      <c r="H54" s="246"/>
      <c r="I54" s="246"/>
      <c r="J54" s="250"/>
      <c r="K54" s="251"/>
      <c r="L54" s="252"/>
    </row>
    <row r="55" spans="1:12" ht="105" customHeight="1" x14ac:dyDescent="0.25">
      <c r="A55" s="255"/>
      <c r="B55" s="256"/>
      <c r="C55" s="257"/>
      <c r="D55" s="191"/>
      <c r="E55" s="258"/>
      <c r="F55" s="260"/>
      <c r="G55" s="56"/>
      <c r="H55" s="245"/>
      <c r="I55" s="245"/>
      <c r="J55" s="247"/>
      <c r="K55" s="248"/>
      <c r="L55" s="249"/>
    </row>
    <row r="56" spans="1:12" ht="105" customHeight="1" x14ac:dyDescent="0.25">
      <c r="A56" s="253"/>
      <c r="B56" s="254"/>
      <c r="C56" s="188"/>
      <c r="D56" s="191"/>
      <c r="E56" s="259"/>
      <c r="F56" s="260"/>
      <c r="G56" s="41"/>
      <c r="H56" s="246"/>
      <c r="I56" s="246"/>
      <c r="J56" s="250"/>
      <c r="K56" s="251"/>
      <c r="L56" s="252"/>
    </row>
    <row r="57" spans="1:12" ht="105" customHeight="1" x14ac:dyDescent="0.25">
      <c r="A57" s="255"/>
      <c r="B57" s="256"/>
      <c r="C57" s="257"/>
      <c r="D57" s="191"/>
      <c r="E57" s="258"/>
      <c r="F57" s="260"/>
      <c r="G57" s="56"/>
      <c r="H57" s="245"/>
      <c r="I57" s="245"/>
      <c r="J57" s="247"/>
      <c r="K57" s="248"/>
      <c r="L57" s="249"/>
    </row>
    <row r="58" spans="1:12" ht="105" customHeight="1" x14ac:dyDescent="0.25">
      <c r="A58" s="253"/>
      <c r="B58" s="254"/>
      <c r="C58" s="188"/>
      <c r="D58" s="191"/>
      <c r="E58" s="259"/>
      <c r="F58" s="260"/>
      <c r="G58" s="41"/>
      <c r="H58" s="246"/>
      <c r="I58" s="246"/>
      <c r="J58" s="250"/>
      <c r="K58" s="251"/>
      <c r="L58" s="252"/>
    </row>
    <row r="59" spans="1:12" ht="105" customHeight="1" x14ac:dyDescent="0.25">
      <c r="A59" s="255"/>
      <c r="B59" s="256"/>
      <c r="C59" s="257"/>
      <c r="D59" s="191"/>
      <c r="E59" s="258"/>
      <c r="F59" s="260"/>
      <c r="G59" s="56"/>
      <c r="H59" s="245"/>
      <c r="I59" s="245"/>
      <c r="J59" s="247"/>
      <c r="K59" s="248"/>
      <c r="L59" s="249"/>
    </row>
    <row r="60" spans="1:12" ht="105" customHeight="1" x14ac:dyDescent="0.25">
      <c r="A60" s="253"/>
      <c r="B60" s="254"/>
      <c r="C60" s="188"/>
      <c r="D60" s="191"/>
      <c r="E60" s="259"/>
      <c r="F60" s="260"/>
      <c r="G60" s="41"/>
      <c r="H60" s="246"/>
      <c r="I60" s="246"/>
      <c r="J60" s="250"/>
      <c r="K60" s="251"/>
      <c r="L60" s="252"/>
    </row>
    <row r="61" spans="1:12" ht="105" customHeight="1" x14ac:dyDescent="0.25">
      <c r="A61" s="274"/>
      <c r="B61" s="257"/>
      <c r="C61" s="190"/>
      <c r="D61" s="191"/>
      <c r="E61" s="258"/>
      <c r="F61" s="260"/>
      <c r="G61" s="56"/>
      <c r="H61" s="245"/>
      <c r="I61" s="245"/>
      <c r="J61" s="247"/>
      <c r="K61" s="248"/>
      <c r="L61" s="249"/>
    </row>
    <row r="62" spans="1:12" ht="105" customHeight="1" x14ac:dyDescent="0.25">
      <c r="A62" s="270"/>
      <c r="B62" s="188"/>
      <c r="C62" s="271"/>
      <c r="D62" s="191"/>
      <c r="E62" s="259"/>
      <c r="F62" s="260"/>
      <c r="G62" s="41"/>
      <c r="H62" s="246"/>
      <c r="I62" s="246"/>
      <c r="J62" s="250"/>
      <c r="K62" s="251"/>
      <c r="L62" s="252"/>
    </row>
    <row r="63" spans="1:12" ht="105" customHeight="1" x14ac:dyDescent="0.25">
      <c r="A63" s="255"/>
      <c r="B63" s="256"/>
      <c r="C63" s="257"/>
      <c r="D63" s="191"/>
      <c r="E63" s="272"/>
      <c r="F63" s="267"/>
      <c r="G63" s="56"/>
      <c r="H63" s="245"/>
      <c r="I63" s="245"/>
      <c r="J63" s="247"/>
      <c r="K63" s="248"/>
      <c r="L63" s="249"/>
    </row>
    <row r="64" spans="1:12" ht="105" customHeight="1" x14ac:dyDescent="0.25">
      <c r="A64" s="253"/>
      <c r="B64" s="254"/>
      <c r="C64" s="188"/>
      <c r="D64" s="191"/>
      <c r="E64" s="273"/>
      <c r="F64" s="268"/>
      <c r="G64" s="41"/>
      <c r="H64" s="246"/>
      <c r="I64" s="246"/>
      <c r="J64" s="250"/>
      <c r="K64" s="251"/>
      <c r="L64" s="252"/>
    </row>
    <row r="65" spans="1:12" ht="105" customHeight="1" x14ac:dyDescent="0.25">
      <c r="A65" s="255"/>
      <c r="B65" s="256"/>
      <c r="C65" s="257"/>
      <c r="D65" s="191"/>
      <c r="E65" s="258"/>
      <c r="F65" s="260"/>
      <c r="G65" s="56"/>
      <c r="H65" s="245"/>
      <c r="I65" s="245"/>
      <c r="J65" s="247"/>
      <c r="K65" s="248"/>
      <c r="L65" s="249"/>
    </row>
    <row r="66" spans="1:12" ht="105" customHeight="1" x14ac:dyDescent="0.25">
      <c r="A66" s="253"/>
      <c r="B66" s="254"/>
      <c r="C66" s="188"/>
      <c r="D66" s="191"/>
      <c r="E66" s="259"/>
      <c r="F66" s="260"/>
      <c r="G66" s="41"/>
      <c r="H66" s="246"/>
      <c r="I66" s="246"/>
      <c r="J66" s="250"/>
      <c r="K66" s="251"/>
      <c r="L66" s="252"/>
    </row>
    <row r="67" spans="1:12" ht="105" customHeight="1" x14ac:dyDescent="0.25">
      <c r="A67" s="261"/>
      <c r="B67" s="262"/>
      <c r="C67" s="263"/>
      <c r="D67" s="264"/>
      <c r="E67" s="265"/>
      <c r="F67" s="267"/>
      <c r="G67" s="56"/>
      <c r="H67" s="245"/>
      <c r="I67" s="245"/>
      <c r="J67" s="247"/>
      <c r="K67" s="248"/>
      <c r="L67" s="249"/>
    </row>
    <row r="68" spans="1:12" ht="105" customHeight="1" x14ac:dyDescent="0.25">
      <c r="A68" s="269"/>
      <c r="B68" s="262"/>
      <c r="C68" s="263"/>
      <c r="D68" s="191"/>
      <c r="E68" s="266"/>
      <c r="F68" s="268"/>
      <c r="G68" s="41"/>
      <c r="H68" s="246"/>
      <c r="I68" s="246"/>
      <c r="J68" s="250"/>
      <c r="K68" s="251"/>
      <c r="L68" s="252"/>
    </row>
    <row r="69" spans="1:12" ht="105" customHeight="1" x14ac:dyDescent="0.25">
      <c r="A69" s="255"/>
      <c r="B69" s="256"/>
      <c r="C69" s="257"/>
      <c r="D69" s="191"/>
      <c r="E69" s="258"/>
      <c r="F69" s="260"/>
      <c r="G69" s="56"/>
      <c r="H69" s="245"/>
      <c r="I69" s="245"/>
      <c r="J69" s="247"/>
      <c r="K69" s="248"/>
      <c r="L69" s="249"/>
    </row>
    <row r="70" spans="1:12" ht="105" customHeight="1" x14ac:dyDescent="0.25">
      <c r="A70" s="253"/>
      <c r="B70" s="254"/>
      <c r="C70" s="188"/>
      <c r="D70" s="191"/>
      <c r="E70" s="259"/>
      <c r="F70" s="260"/>
      <c r="G70" s="41"/>
      <c r="H70" s="246"/>
      <c r="I70" s="246"/>
      <c r="J70" s="250"/>
      <c r="K70" s="251"/>
      <c r="L70" s="252"/>
    </row>
    <row r="71" spans="1:12" ht="105" customHeight="1" x14ac:dyDescent="0.25">
      <c r="A71" s="255"/>
      <c r="B71" s="256"/>
      <c r="C71" s="257"/>
      <c r="D71" s="191"/>
      <c r="E71" s="258"/>
      <c r="F71" s="260"/>
      <c r="G71" s="56"/>
      <c r="H71" s="245"/>
      <c r="I71" s="245"/>
      <c r="J71" s="247"/>
      <c r="K71" s="248"/>
      <c r="L71" s="249"/>
    </row>
    <row r="72" spans="1:12" ht="105" customHeight="1" x14ac:dyDescent="0.25">
      <c r="A72" s="253"/>
      <c r="B72" s="254"/>
      <c r="C72" s="188"/>
      <c r="D72" s="191"/>
      <c r="E72" s="259"/>
      <c r="F72" s="260"/>
      <c r="G72" s="41"/>
      <c r="H72" s="246"/>
      <c r="I72" s="246"/>
      <c r="J72" s="250"/>
      <c r="K72" s="251"/>
      <c r="L72" s="252"/>
    </row>
    <row r="73" spans="1:12" ht="105" customHeight="1" x14ac:dyDescent="0.25">
      <c r="A73" s="255"/>
      <c r="B73" s="256"/>
      <c r="C73" s="257"/>
      <c r="D73" s="191"/>
      <c r="E73" s="258"/>
      <c r="F73" s="260"/>
      <c r="G73" s="56"/>
      <c r="H73" s="245"/>
      <c r="I73" s="245"/>
      <c r="J73" s="247"/>
      <c r="K73" s="248"/>
      <c r="L73" s="249"/>
    </row>
    <row r="74" spans="1:12" ht="105" customHeight="1" x14ac:dyDescent="0.25">
      <c r="A74" s="253"/>
      <c r="B74" s="254"/>
      <c r="C74" s="188"/>
      <c r="D74" s="191"/>
      <c r="E74" s="259"/>
      <c r="F74" s="260"/>
      <c r="G74" s="41"/>
      <c r="H74" s="246"/>
      <c r="I74" s="246"/>
      <c r="J74" s="250"/>
      <c r="K74" s="251"/>
      <c r="L74" s="252"/>
    </row>
    <row r="75" spans="1:12" ht="105" customHeight="1" x14ac:dyDescent="0.25">
      <c r="A75" s="274"/>
      <c r="B75" s="257"/>
      <c r="C75" s="190"/>
      <c r="D75" s="191"/>
      <c r="E75" s="258"/>
      <c r="F75" s="260"/>
      <c r="G75" s="56"/>
      <c r="H75" s="245"/>
      <c r="I75" s="245"/>
      <c r="J75" s="247"/>
      <c r="K75" s="248"/>
      <c r="L75" s="249"/>
    </row>
    <row r="76" spans="1:12" ht="105" customHeight="1" x14ac:dyDescent="0.25">
      <c r="A76" s="270"/>
      <c r="B76" s="188"/>
      <c r="C76" s="271"/>
      <c r="D76" s="191"/>
      <c r="E76" s="259"/>
      <c r="F76" s="260"/>
      <c r="G76" s="41"/>
      <c r="H76" s="246"/>
      <c r="I76" s="246"/>
      <c r="J76" s="250"/>
      <c r="K76" s="251"/>
      <c r="L76" s="252"/>
    </row>
    <row r="77" spans="1:12" ht="105" customHeight="1" x14ac:dyDescent="0.25">
      <c r="A77" s="255"/>
      <c r="B77" s="256"/>
      <c r="C77" s="257"/>
      <c r="D77" s="191"/>
      <c r="E77" s="272"/>
      <c r="F77" s="267"/>
      <c r="G77" s="56"/>
      <c r="H77" s="245"/>
      <c r="I77" s="245"/>
      <c r="J77" s="247"/>
      <c r="K77" s="248"/>
      <c r="L77" s="249"/>
    </row>
    <row r="78" spans="1:12" ht="105" customHeight="1" x14ac:dyDescent="0.25">
      <c r="A78" s="253"/>
      <c r="B78" s="254"/>
      <c r="C78" s="188"/>
      <c r="D78" s="191"/>
      <c r="E78" s="273"/>
      <c r="F78" s="268"/>
      <c r="G78" s="41"/>
      <c r="H78" s="246"/>
      <c r="I78" s="246"/>
      <c r="J78" s="250"/>
      <c r="K78" s="251"/>
      <c r="L78" s="252"/>
    </row>
    <row r="79" spans="1:12" ht="105" customHeight="1" x14ac:dyDescent="0.25">
      <c r="A79" s="255"/>
      <c r="B79" s="256"/>
      <c r="C79" s="257"/>
      <c r="D79" s="191"/>
      <c r="E79" s="258"/>
      <c r="F79" s="260"/>
      <c r="G79" s="56"/>
      <c r="H79" s="245"/>
      <c r="I79" s="245"/>
      <c r="J79" s="247"/>
      <c r="K79" s="248"/>
      <c r="L79" s="249"/>
    </row>
    <row r="80" spans="1:12" ht="105" customHeight="1" x14ac:dyDescent="0.25">
      <c r="A80" s="253"/>
      <c r="B80" s="254"/>
      <c r="C80" s="188"/>
      <c r="D80" s="191"/>
      <c r="E80" s="259"/>
      <c r="F80" s="260"/>
      <c r="G80" s="41"/>
      <c r="H80" s="246"/>
      <c r="I80" s="246"/>
      <c r="J80" s="250"/>
      <c r="K80" s="251"/>
      <c r="L80" s="252"/>
    </row>
    <row r="81" spans="1:12" ht="105" customHeight="1" x14ac:dyDescent="0.25">
      <c r="A81" s="261"/>
      <c r="B81" s="262"/>
      <c r="C81" s="263"/>
      <c r="D81" s="264"/>
      <c r="E81" s="265"/>
      <c r="F81" s="267"/>
      <c r="G81" s="56"/>
      <c r="H81" s="245"/>
      <c r="I81" s="245"/>
      <c r="J81" s="247"/>
      <c r="K81" s="248"/>
      <c r="L81" s="249"/>
    </row>
    <row r="82" spans="1:12" ht="105" customHeight="1" x14ac:dyDescent="0.25">
      <c r="A82" s="269"/>
      <c r="B82" s="262"/>
      <c r="C82" s="263"/>
      <c r="D82" s="191"/>
      <c r="E82" s="266"/>
      <c r="F82" s="268"/>
      <c r="G82" s="41"/>
      <c r="H82" s="246"/>
      <c r="I82" s="246"/>
      <c r="J82" s="250"/>
      <c r="K82" s="251"/>
      <c r="L82" s="252"/>
    </row>
    <row r="83" spans="1:12" ht="105" customHeight="1" x14ac:dyDescent="0.25">
      <c r="A83" s="255"/>
      <c r="B83" s="256"/>
      <c r="C83" s="257"/>
      <c r="D83" s="191"/>
      <c r="E83" s="258"/>
      <c r="F83" s="260"/>
      <c r="G83" s="56"/>
      <c r="H83" s="245"/>
      <c r="I83" s="245"/>
      <c r="J83" s="247"/>
      <c r="K83" s="248"/>
      <c r="L83" s="249"/>
    </row>
    <row r="84" spans="1:12" ht="105" customHeight="1" x14ac:dyDescent="0.25">
      <c r="A84" s="253"/>
      <c r="B84" s="254"/>
      <c r="C84" s="188"/>
      <c r="D84" s="191"/>
      <c r="E84" s="259"/>
      <c r="F84" s="260"/>
      <c r="G84" s="41"/>
      <c r="H84" s="246"/>
      <c r="I84" s="246"/>
      <c r="J84" s="250"/>
      <c r="K84" s="251"/>
      <c r="L84" s="252"/>
    </row>
    <row r="85" spans="1:12" ht="105" customHeight="1" x14ac:dyDescent="0.25">
      <c r="A85" s="255"/>
      <c r="B85" s="256"/>
      <c r="C85" s="257"/>
      <c r="D85" s="191"/>
      <c r="E85" s="258"/>
      <c r="F85" s="260"/>
      <c r="G85" s="56"/>
      <c r="H85" s="245"/>
      <c r="I85" s="245"/>
      <c r="J85" s="247"/>
      <c r="K85" s="248"/>
      <c r="L85" s="249"/>
    </row>
    <row r="86" spans="1:12" ht="105" customHeight="1" x14ac:dyDescent="0.25">
      <c r="A86" s="253"/>
      <c r="B86" s="254"/>
      <c r="C86" s="188"/>
      <c r="D86" s="191"/>
      <c r="E86" s="259"/>
      <c r="F86" s="260"/>
      <c r="G86" s="41"/>
      <c r="H86" s="246"/>
      <c r="I86" s="246"/>
      <c r="J86" s="250"/>
      <c r="K86" s="251"/>
      <c r="L86" s="252"/>
    </row>
    <row r="87" spans="1:12" ht="105" customHeight="1" x14ac:dyDescent="0.25">
      <c r="A87" s="255"/>
      <c r="B87" s="256"/>
      <c r="C87" s="257"/>
      <c r="D87" s="191"/>
      <c r="E87" s="258"/>
      <c r="F87" s="260"/>
      <c r="G87" s="56"/>
      <c r="H87" s="245"/>
      <c r="I87" s="245"/>
      <c r="J87" s="247"/>
      <c r="K87" s="248"/>
      <c r="L87" s="249"/>
    </row>
    <row r="88" spans="1:12" ht="105" customHeight="1" x14ac:dyDescent="0.25">
      <c r="A88" s="253"/>
      <c r="B88" s="254"/>
      <c r="C88" s="188"/>
      <c r="D88" s="191"/>
      <c r="E88" s="259"/>
      <c r="F88" s="260"/>
      <c r="G88" s="41"/>
      <c r="H88" s="246"/>
      <c r="I88" s="246"/>
      <c r="J88" s="250"/>
      <c r="K88" s="251"/>
      <c r="L88" s="252"/>
    </row>
    <row r="89" spans="1:12" ht="105" customHeight="1" x14ac:dyDescent="0.25">
      <c r="A89" s="274"/>
      <c r="B89" s="257"/>
      <c r="C89" s="190"/>
      <c r="D89" s="191"/>
      <c r="E89" s="258"/>
      <c r="F89" s="260"/>
      <c r="G89" s="56"/>
      <c r="H89" s="245"/>
      <c r="I89" s="245"/>
      <c r="J89" s="247"/>
      <c r="K89" s="248"/>
      <c r="L89" s="249"/>
    </row>
    <row r="90" spans="1:12" ht="105" customHeight="1" x14ac:dyDescent="0.25">
      <c r="A90" s="270"/>
      <c r="B90" s="188"/>
      <c r="C90" s="271"/>
      <c r="D90" s="191"/>
      <c r="E90" s="259"/>
      <c r="F90" s="260"/>
      <c r="G90" s="41"/>
      <c r="H90" s="246"/>
      <c r="I90" s="246"/>
      <c r="J90" s="250"/>
      <c r="K90" s="251"/>
      <c r="L90" s="252"/>
    </row>
    <row r="91" spans="1:12" ht="105" customHeight="1" x14ac:dyDescent="0.25">
      <c r="A91" s="255"/>
      <c r="B91" s="256"/>
      <c r="C91" s="257"/>
      <c r="D91" s="191"/>
      <c r="E91" s="272"/>
      <c r="F91" s="267"/>
      <c r="G91" s="56"/>
      <c r="H91" s="245"/>
      <c r="I91" s="245"/>
      <c r="J91" s="247"/>
      <c r="K91" s="248"/>
      <c r="L91" s="249"/>
    </row>
    <row r="92" spans="1:12" ht="105" customHeight="1" x14ac:dyDescent="0.25">
      <c r="A92" s="253"/>
      <c r="B92" s="254"/>
      <c r="C92" s="188"/>
      <c r="D92" s="191"/>
      <c r="E92" s="273"/>
      <c r="F92" s="268"/>
      <c r="G92" s="41"/>
      <c r="H92" s="246"/>
      <c r="I92" s="246"/>
      <c r="J92" s="250"/>
      <c r="K92" s="251"/>
      <c r="L92" s="252"/>
    </row>
    <row r="93" spans="1:12" ht="105" customHeight="1" x14ac:dyDescent="0.25">
      <c r="A93" s="255"/>
      <c r="B93" s="256"/>
      <c r="C93" s="257"/>
      <c r="D93" s="191"/>
      <c r="E93" s="258"/>
      <c r="F93" s="260"/>
      <c r="G93" s="56"/>
      <c r="H93" s="245"/>
      <c r="I93" s="245"/>
      <c r="J93" s="247"/>
      <c r="K93" s="248"/>
      <c r="L93" s="249"/>
    </row>
    <row r="94" spans="1:12" ht="105" customHeight="1" x14ac:dyDescent="0.25">
      <c r="A94" s="253"/>
      <c r="B94" s="254"/>
      <c r="C94" s="188"/>
      <c r="D94" s="191"/>
      <c r="E94" s="259"/>
      <c r="F94" s="260"/>
      <c r="G94" s="41"/>
      <c r="H94" s="246"/>
      <c r="I94" s="246"/>
      <c r="J94" s="250"/>
      <c r="K94" s="251"/>
      <c r="L94" s="252"/>
    </row>
    <row r="95" spans="1:12" ht="105" customHeight="1" x14ac:dyDescent="0.25">
      <c r="A95" s="261"/>
      <c r="B95" s="262"/>
      <c r="C95" s="263"/>
      <c r="D95" s="264"/>
      <c r="E95" s="265"/>
      <c r="F95" s="267"/>
      <c r="G95" s="56"/>
      <c r="H95" s="245"/>
      <c r="I95" s="245"/>
      <c r="J95" s="247"/>
      <c r="K95" s="248"/>
      <c r="L95" s="249"/>
    </row>
    <row r="96" spans="1:12" ht="105" customHeight="1" x14ac:dyDescent="0.25">
      <c r="A96" s="269"/>
      <c r="B96" s="262"/>
      <c r="C96" s="263"/>
      <c r="D96" s="191"/>
      <c r="E96" s="266"/>
      <c r="F96" s="268"/>
      <c r="G96" s="41"/>
      <c r="H96" s="246"/>
      <c r="I96" s="246"/>
      <c r="J96" s="250"/>
      <c r="K96" s="251"/>
      <c r="L96" s="252"/>
    </row>
    <row r="97" spans="1:12" ht="105" customHeight="1" x14ac:dyDescent="0.25">
      <c r="A97" s="255"/>
      <c r="B97" s="256"/>
      <c r="C97" s="257"/>
      <c r="D97" s="191"/>
      <c r="E97" s="258"/>
      <c r="F97" s="260"/>
      <c r="G97" s="56"/>
      <c r="H97" s="245"/>
      <c r="I97" s="245"/>
      <c r="J97" s="247"/>
      <c r="K97" s="248"/>
      <c r="L97" s="249"/>
    </row>
    <row r="98" spans="1:12" ht="105" customHeight="1" x14ac:dyDescent="0.25">
      <c r="A98" s="253"/>
      <c r="B98" s="254"/>
      <c r="C98" s="188"/>
      <c r="D98" s="191"/>
      <c r="E98" s="259"/>
      <c r="F98" s="260"/>
      <c r="G98" s="41"/>
      <c r="H98" s="246"/>
      <c r="I98" s="246"/>
      <c r="J98" s="250"/>
      <c r="K98" s="251"/>
      <c r="L98" s="252"/>
    </row>
    <row r="99" spans="1:12" ht="105" customHeight="1" x14ac:dyDescent="0.25">
      <c r="A99" s="255"/>
      <c r="B99" s="256"/>
      <c r="C99" s="257"/>
      <c r="D99" s="191"/>
      <c r="E99" s="258"/>
      <c r="F99" s="260"/>
      <c r="G99" s="56"/>
      <c r="H99" s="245"/>
      <c r="I99" s="245"/>
      <c r="J99" s="247"/>
      <c r="K99" s="248"/>
      <c r="L99" s="249"/>
    </row>
    <row r="100" spans="1:12" ht="105" customHeight="1" x14ac:dyDescent="0.25">
      <c r="A100" s="253"/>
      <c r="B100" s="254"/>
      <c r="C100" s="188"/>
      <c r="D100" s="191"/>
      <c r="E100" s="259"/>
      <c r="F100" s="260"/>
      <c r="G100" s="41"/>
      <c r="H100" s="246"/>
      <c r="I100" s="246"/>
      <c r="J100" s="250"/>
      <c r="K100" s="251"/>
      <c r="L100" s="252"/>
    </row>
    <row r="101" spans="1:12" ht="105" customHeight="1" x14ac:dyDescent="0.25">
      <c r="A101" s="255"/>
      <c r="B101" s="256"/>
      <c r="C101" s="257"/>
      <c r="D101" s="191"/>
      <c r="E101" s="258"/>
      <c r="F101" s="260"/>
      <c r="G101" s="56"/>
      <c r="H101" s="245"/>
      <c r="I101" s="245"/>
      <c r="J101" s="247"/>
      <c r="K101" s="248"/>
      <c r="L101" s="249"/>
    </row>
    <row r="102" spans="1:12" ht="105" customHeight="1" x14ac:dyDescent="0.25">
      <c r="A102" s="253"/>
      <c r="B102" s="254"/>
      <c r="C102" s="188"/>
      <c r="D102" s="191"/>
      <c r="E102" s="259"/>
      <c r="F102" s="260"/>
      <c r="G102" s="41"/>
      <c r="H102" s="246"/>
      <c r="I102" s="246"/>
      <c r="J102" s="250"/>
      <c r="K102" s="251"/>
      <c r="L102" s="252"/>
    </row>
    <row r="103" spans="1:12" ht="105" customHeight="1" x14ac:dyDescent="0.25">
      <c r="A103" s="274"/>
      <c r="B103" s="257"/>
      <c r="C103" s="190"/>
      <c r="D103" s="191"/>
      <c r="E103" s="258"/>
      <c r="F103" s="260"/>
      <c r="G103" s="56"/>
      <c r="H103" s="245"/>
      <c r="I103" s="245"/>
      <c r="J103" s="247"/>
      <c r="K103" s="248"/>
      <c r="L103" s="249"/>
    </row>
    <row r="104" spans="1:12" ht="105" customHeight="1" x14ac:dyDescent="0.25">
      <c r="A104" s="270"/>
      <c r="B104" s="188"/>
      <c r="C104" s="271"/>
      <c r="D104" s="191"/>
      <c r="E104" s="259"/>
      <c r="F104" s="260"/>
      <c r="G104" s="41"/>
      <c r="H104" s="246"/>
      <c r="I104" s="246"/>
      <c r="J104" s="250"/>
      <c r="K104" s="251"/>
      <c r="L104" s="252"/>
    </row>
    <row r="105" spans="1:12" ht="105" customHeight="1" x14ac:dyDescent="0.25">
      <c r="A105" s="255"/>
      <c r="B105" s="256"/>
      <c r="C105" s="257"/>
      <c r="D105" s="191"/>
      <c r="E105" s="272"/>
      <c r="F105" s="267"/>
      <c r="G105" s="56"/>
      <c r="H105" s="245"/>
      <c r="I105" s="245"/>
      <c r="J105" s="247"/>
      <c r="K105" s="248"/>
      <c r="L105" s="249"/>
    </row>
    <row r="106" spans="1:12" ht="105" customHeight="1" x14ac:dyDescent="0.25">
      <c r="A106" s="253"/>
      <c r="B106" s="254"/>
      <c r="C106" s="188"/>
      <c r="D106" s="191"/>
      <c r="E106" s="273"/>
      <c r="F106" s="268"/>
      <c r="G106" s="41"/>
      <c r="H106" s="246"/>
      <c r="I106" s="246"/>
      <c r="J106" s="250"/>
      <c r="K106" s="251"/>
      <c r="L106" s="252"/>
    </row>
    <row r="107" spans="1:12" ht="105" customHeight="1" x14ac:dyDescent="0.25">
      <c r="A107" s="255"/>
      <c r="B107" s="256"/>
      <c r="C107" s="257"/>
      <c r="D107" s="191"/>
      <c r="E107" s="258"/>
      <c r="F107" s="260"/>
      <c r="G107" s="56"/>
      <c r="H107" s="245"/>
      <c r="I107" s="245"/>
      <c r="J107" s="247"/>
      <c r="K107" s="248"/>
      <c r="L107" s="249"/>
    </row>
    <row r="108" spans="1:12" ht="105" customHeight="1" x14ac:dyDescent="0.25">
      <c r="A108" s="253"/>
      <c r="B108" s="254"/>
      <c r="C108" s="188"/>
      <c r="D108" s="191"/>
      <c r="E108" s="259"/>
      <c r="F108" s="260"/>
      <c r="G108" s="41"/>
      <c r="H108" s="246"/>
      <c r="I108" s="246"/>
      <c r="J108" s="250"/>
      <c r="K108" s="251"/>
      <c r="L108" s="252"/>
    </row>
    <row r="109" spans="1:12" ht="105" customHeight="1" x14ac:dyDescent="0.25">
      <c r="A109" s="261"/>
      <c r="B109" s="262"/>
      <c r="C109" s="263"/>
      <c r="D109" s="264"/>
      <c r="E109" s="265"/>
      <c r="F109" s="267"/>
      <c r="G109" s="56"/>
      <c r="H109" s="245"/>
      <c r="I109" s="245"/>
      <c r="J109" s="247"/>
      <c r="K109" s="248"/>
      <c r="L109" s="249"/>
    </row>
    <row r="110" spans="1:12" ht="105" customHeight="1" x14ac:dyDescent="0.25">
      <c r="A110" s="269"/>
      <c r="B110" s="262"/>
      <c r="C110" s="263"/>
      <c r="D110" s="191"/>
      <c r="E110" s="266"/>
      <c r="F110" s="268"/>
      <c r="G110" s="41"/>
      <c r="H110" s="246"/>
      <c r="I110" s="246"/>
      <c r="J110" s="250"/>
      <c r="K110" s="251"/>
      <c r="L110" s="252"/>
    </row>
    <row r="111" spans="1:12" ht="105" customHeight="1" x14ac:dyDescent="0.25">
      <c r="A111" s="255"/>
      <c r="B111" s="256"/>
      <c r="C111" s="257"/>
      <c r="D111" s="191"/>
      <c r="E111" s="258"/>
      <c r="F111" s="260"/>
      <c r="G111" s="56"/>
      <c r="H111" s="245"/>
      <c r="I111" s="245"/>
      <c r="J111" s="247"/>
      <c r="K111" s="248"/>
      <c r="L111" s="249"/>
    </row>
    <row r="112" spans="1:12" ht="105" customHeight="1" x14ac:dyDescent="0.25">
      <c r="A112" s="253"/>
      <c r="B112" s="254"/>
      <c r="C112" s="188"/>
      <c r="D112" s="191"/>
      <c r="E112" s="259"/>
      <c r="F112" s="260"/>
      <c r="G112" s="41"/>
      <c r="H112" s="246"/>
      <c r="I112" s="246"/>
      <c r="J112" s="250"/>
      <c r="K112" s="251"/>
      <c r="L112" s="252"/>
    </row>
    <row r="113" spans="1:12" ht="105" customHeight="1" x14ac:dyDescent="0.25">
      <c r="A113" s="255"/>
      <c r="B113" s="256"/>
      <c r="C113" s="257"/>
      <c r="D113" s="191"/>
      <c r="E113" s="258"/>
      <c r="F113" s="260"/>
      <c r="G113" s="56"/>
      <c r="H113" s="245"/>
      <c r="I113" s="245"/>
      <c r="J113" s="247"/>
      <c r="K113" s="248"/>
      <c r="L113" s="249"/>
    </row>
    <row r="114" spans="1:12" ht="105" customHeight="1" x14ac:dyDescent="0.25">
      <c r="A114" s="253"/>
      <c r="B114" s="254"/>
      <c r="C114" s="188"/>
      <c r="D114" s="191"/>
      <c r="E114" s="259"/>
      <c r="F114" s="260"/>
      <c r="G114" s="41"/>
      <c r="H114" s="246"/>
      <c r="I114" s="246"/>
      <c r="J114" s="250"/>
      <c r="K114" s="251"/>
      <c r="L114" s="252"/>
    </row>
    <row r="115" spans="1:12" ht="105" customHeight="1" x14ac:dyDescent="0.25">
      <c r="A115" s="255"/>
      <c r="B115" s="256"/>
      <c r="C115" s="257"/>
      <c r="D115" s="191"/>
      <c r="E115" s="258"/>
      <c r="F115" s="260"/>
      <c r="G115" s="56"/>
      <c r="H115" s="245"/>
      <c r="I115" s="245"/>
      <c r="J115" s="247"/>
      <c r="K115" s="248"/>
      <c r="L115" s="249"/>
    </row>
    <row r="116" spans="1:12" ht="105" customHeight="1" x14ac:dyDescent="0.25">
      <c r="A116" s="253"/>
      <c r="B116" s="254"/>
      <c r="C116" s="188"/>
      <c r="D116" s="191"/>
      <c r="E116" s="259"/>
      <c r="F116" s="260"/>
      <c r="G116" s="41"/>
      <c r="H116" s="246"/>
      <c r="I116" s="246"/>
      <c r="J116" s="250"/>
      <c r="K116" s="251"/>
      <c r="L116" s="252"/>
    </row>
    <row r="117" spans="1:12" ht="105" customHeight="1" x14ac:dyDescent="0.25">
      <c r="A117" s="274"/>
      <c r="B117" s="257"/>
      <c r="C117" s="190"/>
      <c r="D117" s="191"/>
      <c r="E117" s="258"/>
      <c r="F117" s="260"/>
      <c r="G117" s="56"/>
      <c r="H117" s="245"/>
      <c r="I117" s="245"/>
      <c r="J117" s="247"/>
      <c r="K117" s="248"/>
      <c r="L117" s="249"/>
    </row>
    <row r="118" spans="1:12" ht="105" customHeight="1" x14ac:dyDescent="0.25">
      <c r="A118" s="270"/>
      <c r="B118" s="188"/>
      <c r="C118" s="271"/>
      <c r="D118" s="191"/>
      <c r="E118" s="259"/>
      <c r="F118" s="260"/>
      <c r="G118" s="41"/>
      <c r="H118" s="246"/>
      <c r="I118" s="246"/>
      <c r="J118" s="250"/>
      <c r="K118" s="251"/>
      <c r="L118" s="252"/>
    </row>
    <row r="119" spans="1:12" ht="105" customHeight="1" x14ac:dyDescent="0.25">
      <c r="A119" s="255"/>
      <c r="B119" s="256"/>
      <c r="C119" s="257"/>
      <c r="D119" s="191"/>
      <c r="E119" s="272"/>
      <c r="F119" s="267"/>
      <c r="G119" s="56"/>
      <c r="H119" s="245"/>
      <c r="I119" s="245"/>
      <c r="J119" s="247"/>
      <c r="K119" s="248"/>
      <c r="L119" s="249"/>
    </row>
    <row r="120" spans="1:12" ht="105" customHeight="1" x14ac:dyDescent="0.25">
      <c r="A120" s="253"/>
      <c r="B120" s="254"/>
      <c r="C120" s="188"/>
      <c r="D120" s="191"/>
      <c r="E120" s="273"/>
      <c r="F120" s="268"/>
      <c r="G120" s="41"/>
      <c r="H120" s="246"/>
      <c r="I120" s="246"/>
      <c r="J120" s="250"/>
      <c r="K120" s="251"/>
      <c r="L120" s="252"/>
    </row>
    <row r="121" spans="1:12" ht="105" customHeight="1" x14ac:dyDescent="0.25">
      <c r="A121" s="255"/>
      <c r="B121" s="256"/>
      <c r="C121" s="257"/>
      <c r="D121" s="191"/>
      <c r="E121" s="258"/>
      <c r="F121" s="260"/>
      <c r="G121" s="56"/>
      <c r="H121" s="245"/>
      <c r="I121" s="245"/>
      <c r="J121" s="247"/>
      <c r="K121" s="248"/>
      <c r="L121" s="249"/>
    </row>
    <row r="122" spans="1:12" ht="105" customHeight="1" x14ac:dyDescent="0.25">
      <c r="A122" s="253"/>
      <c r="B122" s="254"/>
      <c r="C122" s="188"/>
      <c r="D122" s="191"/>
      <c r="E122" s="259"/>
      <c r="F122" s="260"/>
      <c r="G122" s="41"/>
      <c r="H122" s="246"/>
      <c r="I122" s="246"/>
      <c r="J122" s="250"/>
      <c r="K122" s="251"/>
      <c r="L122" s="252"/>
    </row>
    <row r="123" spans="1:12" ht="105" customHeight="1" x14ac:dyDescent="0.25">
      <c r="A123" s="261"/>
      <c r="B123" s="262"/>
      <c r="C123" s="263"/>
      <c r="D123" s="264"/>
      <c r="E123" s="265"/>
      <c r="F123" s="267"/>
      <c r="G123" s="56"/>
      <c r="H123" s="245"/>
      <c r="I123" s="245"/>
      <c r="J123" s="247"/>
      <c r="K123" s="248"/>
      <c r="L123" s="249"/>
    </row>
    <row r="124" spans="1:12" ht="105" customHeight="1" x14ac:dyDescent="0.25">
      <c r="A124" s="269"/>
      <c r="B124" s="262"/>
      <c r="C124" s="263"/>
      <c r="D124" s="191"/>
      <c r="E124" s="266"/>
      <c r="F124" s="268"/>
      <c r="G124" s="41"/>
      <c r="H124" s="246"/>
      <c r="I124" s="246"/>
      <c r="J124" s="250"/>
      <c r="K124" s="251"/>
      <c r="L124" s="252"/>
    </row>
    <row r="125" spans="1:12" ht="105" customHeight="1" x14ac:dyDescent="0.25">
      <c r="A125" s="255"/>
      <c r="B125" s="256"/>
      <c r="C125" s="257"/>
      <c r="D125" s="191"/>
      <c r="E125" s="258"/>
      <c r="F125" s="260"/>
      <c r="G125" s="56"/>
      <c r="H125" s="245"/>
      <c r="I125" s="245"/>
      <c r="J125" s="247"/>
      <c r="K125" s="248"/>
      <c r="L125" s="249"/>
    </row>
    <row r="126" spans="1:12" ht="105" customHeight="1" x14ac:dyDescent="0.25">
      <c r="A126" s="253"/>
      <c r="B126" s="254"/>
      <c r="C126" s="188"/>
      <c r="D126" s="191"/>
      <c r="E126" s="259"/>
      <c r="F126" s="260"/>
      <c r="G126" s="41"/>
      <c r="H126" s="246"/>
      <c r="I126" s="246"/>
      <c r="J126" s="250"/>
      <c r="K126" s="251"/>
      <c r="L126" s="252"/>
    </row>
    <row r="127" spans="1:12" ht="105" customHeight="1" x14ac:dyDescent="0.25">
      <c r="A127" s="255"/>
      <c r="B127" s="256"/>
      <c r="C127" s="257"/>
      <c r="D127" s="191"/>
      <c r="E127" s="258"/>
      <c r="F127" s="260"/>
      <c r="G127" s="56"/>
      <c r="H127" s="245"/>
      <c r="I127" s="245"/>
      <c r="J127" s="247"/>
      <c r="K127" s="248"/>
      <c r="L127" s="249"/>
    </row>
    <row r="128" spans="1:12" ht="105" customHeight="1" x14ac:dyDescent="0.25">
      <c r="A128" s="253"/>
      <c r="B128" s="254"/>
      <c r="C128" s="188"/>
      <c r="D128" s="191"/>
      <c r="E128" s="259"/>
      <c r="F128" s="260"/>
      <c r="G128" s="41"/>
      <c r="H128" s="246"/>
      <c r="I128" s="246"/>
      <c r="J128" s="250"/>
      <c r="K128" s="251"/>
      <c r="L128" s="252"/>
    </row>
    <row r="129" spans="1:12" ht="105" customHeight="1" x14ac:dyDescent="0.25">
      <c r="A129" s="255"/>
      <c r="B129" s="256"/>
      <c r="C129" s="257"/>
      <c r="D129" s="191"/>
      <c r="E129" s="258"/>
      <c r="F129" s="260"/>
      <c r="G129" s="56"/>
      <c r="H129" s="245"/>
      <c r="I129" s="245"/>
      <c r="J129" s="247"/>
      <c r="K129" s="248"/>
      <c r="L129" s="249"/>
    </row>
    <row r="130" spans="1:12" ht="105" customHeight="1" x14ac:dyDescent="0.25">
      <c r="A130" s="253"/>
      <c r="B130" s="254"/>
      <c r="C130" s="188"/>
      <c r="D130" s="191"/>
      <c r="E130" s="259"/>
      <c r="F130" s="260"/>
      <c r="G130" s="41"/>
      <c r="H130" s="246"/>
      <c r="I130" s="246"/>
      <c r="J130" s="250"/>
      <c r="K130" s="251"/>
      <c r="L130" s="252"/>
    </row>
    <row r="131" spans="1:12" ht="105" customHeight="1" x14ac:dyDescent="0.25">
      <c r="A131" s="274"/>
      <c r="B131" s="257"/>
      <c r="C131" s="190"/>
      <c r="D131" s="191"/>
      <c r="E131" s="258"/>
      <c r="F131" s="260"/>
      <c r="G131" s="56"/>
      <c r="H131" s="245"/>
      <c r="I131" s="245"/>
      <c r="J131" s="247"/>
      <c r="K131" s="248"/>
      <c r="L131" s="249"/>
    </row>
    <row r="132" spans="1:12" ht="105" customHeight="1" x14ac:dyDescent="0.25">
      <c r="A132" s="270"/>
      <c r="B132" s="188"/>
      <c r="C132" s="271"/>
      <c r="D132" s="191"/>
      <c r="E132" s="259"/>
      <c r="F132" s="260"/>
      <c r="G132" s="41"/>
      <c r="H132" s="246"/>
      <c r="I132" s="246"/>
      <c r="J132" s="250"/>
      <c r="K132" s="251"/>
      <c r="L132" s="252"/>
    </row>
    <row r="133" spans="1:12" ht="105" customHeight="1" x14ac:dyDescent="0.25">
      <c r="A133" s="255"/>
      <c r="B133" s="256"/>
      <c r="C133" s="257"/>
      <c r="D133" s="191"/>
      <c r="E133" s="272"/>
      <c r="F133" s="267"/>
      <c r="G133" s="56"/>
      <c r="H133" s="245"/>
      <c r="I133" s="245"/>
      <c r="J133" s="247"/>
      <c r="K133" s="248"/>
      <c r="L133" s="249"/>
    </row>
    <row r="134" spans="1:12" ht="105" customHeight="1" x14ac:dyDescent="0.25">
      <c r="A134" s="253"/>
      <c r="B134" s="254"/>
      <c r="C134" s="188"/>
      <c r="D134" s="191"/>
      <c r="E134" s="273"/>
      <c r="F134" s="268"/>
      <c r="G134" s="41"/>
      <c r="H134" s="246"/>
      <c r="I134" s="246"/>
      <c r="J134" s="250"/>
      <c r="K134" s="251"/>
      <c r="L134" s="252"/>
    </row>
    <row r="135" spans="1:12" ht="105" customHeight="1" x14ac:dyDescent="0.25">
      <c r="A135" s="255"/>
      <c r="B135" s="256"/>
      <c r="C135" s="257"/>
      <c r="D135" s="191"/>
      <c r="E135" s="258"/>
      <c r="F135" s="260"/>
      <c r="G135" s="56"/>
      <c r="H135" s="245"/>
      <c r="I135" s="245"/>
      <c r="J135" s="247"/>
      <c r="K135" s="248"/>
      <c r="L135" s="249"/>
    </row>
    <row r="136" spans="1:12" ht="105" customHeight="1" x14ac:dyDescent="0.25">
      <c r="A136" s="253"/>
      <c r="B136" s="254"/>
      <c r="C136" s="188"/>
      <c r="D136" s="191"/>
      <c r="E136" s="259"/>
      <c r="F136" s="260"/>
      <c r="G136" s="41"/>
      <c r="H136" s="246"/>
      <c r="I136" s="246"/>
      <c r="J136" s="250"/>
      <c r="K136" s="251"/>
      <c r="L136" s="252"/>
    </row>
    <row r="137" spans="1:12" ht="105" customHeight="1" x14ac:dyDescent="0.25">
      <c r="A137" s="261"/>
      <c r="B137" s="262"/>
      <c r="C137" s="263"/>
      <c r="D137" s="264"/>
      <c r="E137" s="265"/>
      <c r="F137" s="267"/>
      <c r="G137" s="56"/>
      <c r="H137" s="245"/>
      <c r="I137" s="245"/>
      <c r="J137" s="247"/>
      <c r="K137" s="248"/>
      <c r="L137" s="249"/>
    </row>
    <row r="138" spans="1:12" ht="105" customHeight="1" x14ac:dyDescent="0.25">
      <c r="A138" s="269"/>
      <c r="B138" s="262"/>
      <c r="C138" s="263"/>
      <c r="D138" s="191"/>
      <c r="E138" s="266"/>
      <c r="F138" s="268"/>
      <c r="G138" s="41"/>
      <c r="H138" s="246"/>
      <c r="I138" s="246"/>
      <c r="J138" s="250"/>
      <c r="K138" s="251"/>
      <c r="L138" s="252"/>
    </row>
    <row r="139" spans="1:12" ht="105" customHeight="1" x14ac:dyDescent="0.25">
      <c r="A139" s="255"/>
      <c r="B139" s="256"/>
      <c r="C139" s="257"/>
      <c r="D139" s="191"/>
      <c r="E139" s="258"/>
      <c r="F139" s="260"/>
      <c r="G139" s="56"/>
      <c r="H139" s="245"/>
      <c r="I139" s="245"/>
      <c r="J139" s="247"/>
      <c r="K139" s="248"/>
      <c r="L139" s="249"/>
    </row>
    <row r="140" spans="1:12" ht="105" customHeight="1" x14ac:dyDescent="0.25">
      <c r="A140" s="253"/>
      <c r="B140" s="254"/>
      <c r="C140" s="188"/>
      <c r="D140" s="191"/>
      <c r="E140" s="259"/>
      <c r="F140" s="260"/>
      <c r="G140" s="41"/>
      <c r="H140" s="246"/>
      <c r="I140" s="246"/>
      <c r="J140" s="250"/>
      <c r="K140" s="251"/>
      <c r="L140" s="252"/>
    </row>
    <row r="141" spans="1:12" ht="105" customHeight="1" x14ac:dyDescent="0.25">
      <c r="A141" s="255"/>
      <c r="B141" s="256"/>
      <c r="C141" s="257"/>
      <c r="D141" s="191"/>
      <c r="E141" s="258"/>
      <c r="F141" s="260"/>
      <c r="G141" s="56"/>
      <c r="H141" s="245"/>
      <c r="I141" s="245"/>
      <c r="J141" s="247"/>
      <c r="K141" s="248"/>
      <c r="L141" s="249"/>
    </row>
    <row r="142" spans="1:12" ht="105" customHeight="1" x14ac:dyDescent="0.25">
      <c r="A142" s="253"/>
      <c r="B142" s="254"/>
      <c r="C142" s="188"/>
      <c r="D142" s="191"/>
      <c r="E142" s="259"/>
      <c r="F142" s="260"/>
      <c r="G142" s="41"/>
      <c r="H142" s="246"/>
      <c r="I142" s="246"/>
      <c r="J142" s="250"/>
      <c r="K142" s="251"/>
      <c r="L142" s="252"/>
    </row>
    <row r="143" spans="1:12" ht="105" customHeight="1" x14ac:dyDescent="0.25">
      <c r="A143" s="255"/>
      <c r="B143" s="256"/>
      <c r="C143" s="257"/>
      <c r="D143" s="191"/>
      <c r="E143" s="258"/>
      <c r="F143" s="260"/>
      <c r="G143" s="56"/>
      <c r="H143" s="245"/>
      <c r="I143" s="245"/>
      <c r="J143" s="247"/>
      <c r="K143" s="248"/>
      <c r="L143" s="249"/>
    </row>
    <row r="144" spans="1:12" ht="105" customHeight="1" x14ac:dyDescent="0.25">
      <c r="A144" s="253"/>
      <c r="B144" s="254"/>
      <c r="C144" s="188"/>
      <c r="D144" s="191"/>
      <c r="E144" s="259"/>
      <c r="F144" s="260"/>
      <c r="G144" s="41"/>
      <c r="H144" s="246"/>
      <c r="I144" s="246"/>
      <c r="J144" s="250"/>
      <c r="K144" s="251"/>
      <c r="L144" s="252"/>
    </row>
    <row r="145" spans="1:12" ht="105" customHeight="1" x14ac:dyDescent="0.25">
      <c r="A145" s="274"/>
      <c r="B145" s="257"/>
      <c r="C145" s="190"/>
      <c r="D145" s="191"/>
      <c r="E145" s="258"/>
      <c r="F145" s="260"/>
      <c r="G145" s="56"/>
      <c r="H145" s="245"/>
      <c r="I145" s="245"/>
      <c r="J145" s="247"/>
      <c r="K145" s="248"/>
      <c r="L145" s="249"/>
    </row>
    <row r="146" spans="1:12" ht="105" customHeight="1" x14ac:dyDescent="0.25">
      <c r="A146" s="270"/>
      <c r="B146" s="188"/>
      <c r="C146" s="271"/>
      <c r="D146" s="191"/>
      <c r="E146" s="259"/>
      <c r="F146" s="260"/>
      <c r="G146" s="41"/>
      <c r="H146" s="246"/>
      <c r="I146" s="246"/>
      <c r="J146" s="250"/>
      <c r="K146" s="251"/>
      <c r="L146" s="252"/>
    </row>
    <row r="147" spans="1:12" ht="105" customHeight="1" x14ac:dyDescent="0.25">
      <c r="A147" s="255"/>
      <c r="B147" s="256"/>
      <c r="C147" s="257"/>
      <c r="D147" s="191"/>
      <c r="E147" s="272"/>
      <c r="F147" s="267"/>
      <c r="G147" s="56"/>
      <c r="H147" s="245"/>
      <c r="I147" s="245"/>
      <c r="J147" s="247"/>
      <c r="K147" s="248"/>
      <c r="L147" s="249"/>
    </row>
    <row r="148" spans="1:12" ht="105" customHeight="1" x14ac:dyDescent="0.25">
      <c r="A148" s="253"/>
      <c r="B148" s="254"/>
      <c r="C148" s="188"/>
      <c r="D148" s="191"/>
      <c r="E148" s="273"/>
      <c r="F148" s="268"/>
      <c r="G148" s="41"/>
      <c r="H148" s="246"/>
      <c r="I148" s="246"/>
      <c r="J148" s="250"/>
      <c r="K148" s="251"/>
      <c r="L148" s="252"/>
    </row>
    <row r="149" spans="1:12" ht="105" customHeight="1" x14ac:dyDescent="0.25">
      <c r="A149" s="255"/>
      <c r="B149" s="256"/>
      <c r="C149" s="257"/>
      <c r="D149" s="191"/>
      <c r="E149" s="258"/>
      <c r="F149" s="260"/>
      <c r="G149" s="56"/>
      <c r="H149" s="245"/>
      <c r="I149" s="245"/>
      <c r="J149" s="247"/>
      <c r="K149" s="248"/>
      <c r="L149" s="249"/>
    </row>
    <row r="150" spans="1:12" ht="105" customHeight="1" x14ac:dyDescent="0.25">
      <c r="A150" s="253"/>
      <c r="B150" s="254"/>
      <c r="C150" s="188"/>
      <c r="D150" s="191"/>
      <c r="E150" s="259"/>
      <c r="F150" s="260"/>
      <c r="G150" s="41"/>
      <c r="H150" s="246"/>
      <c r="I150" s="246"/>
      <c r="J150" s="250"/>
      <c r="K150" s="251"/>
      <c r="L150" s="252"/>
    </row>
    <row r="151" spans="1:12" ht="105" customHeight="1" x14ac:dyDescent="0.25">
      <c r="A151" s="261"/>
      <c r="B151" s="262"/>
      <c r="C151" s="263"/>
      <c r="D151" s="264"/>
      <c r="E151" s="265"/>
      <c r="F151" s="267"/>
      <c r="G151" s="56"/>
      <c r="H151" s="245"/>
      <c r="I151" s="245"/>
      <c r="J151" s="247"/>
      <c r="K151" s="248"/>
      <c r="L151" s="249"/>
    </row>
    <row r="152" spans="1:12" ht="105" customHeight="1" x14ac:dyDescent="0.25">
      <c r="A152" s="269"/>
      <c r="B152" s="262"/>
      <c r="C152" s="263"/>
      <c r="D152" s="191"/>
      <c r="E152" s="266"/>
      <c r="F152" s="268"/>
      <c r="G152" s="41"/>
      <c r="H152" s="246"/>
      <c r="I152" s="246"/>
      <c r="J152" s="250"/>
      <c r="K152" s="251"/>
      <c r="L152" s="252"/>
    </row>
    <row r="153" spans="1:12" ht="105" customHeight="1" x14ac:dyDescent="0.25">
      <c r="A153" s="255"/>
      <c r="B153" s="256"/>
      <c r="C153" s="257"/>
      <c r="D153" s="191"/>
      <c r="E153" s="258"/>
      <c r="F153" s="260"/>
      <c r="G153" s="56"/>
      <c r="H153" s="245"/>
      <c r="I153" s="245"/>
      <c r="J153" s="247"/>
      <c r="K153" s="248"/>
      <c r="L153" s="249"/>
    </row>
    <row r="154" spans="1:12" ht="105" customHeight="1" x14ac:dyDescent="0.25">
      <c r="A154" s="253"/>
      <c r="B154" s="254"/>
      <c r="C154" s="188"/>
      <c r="D154" s="191"/>
      <c r="E154" s="259"/>
      <c r="F154" s="260"/>
      <c r="G154" s="41"/>
      <c r="H154" s="246"/>
      <c r="I154" s="246"/>
      <c r="J154" s="250"/>
      <c r="K154" s="251"/>
      <c r="L154" s="252"/>
    </row>
    <row r="155" spans="1:12" ht="105" customHeight="1" x14ac:dyDescent="0.25">
      <c r="A155" s="255"/>
      <c r="B155" s="256"/>
      <c r="C155" s="257"/>
      <c r="D155" s="191"/>
      <c r="E155" s="258"/>
      <c r="F155" s="260"/>
      <c r="G155" s="56"/>
      <c r="H155" s="245"/>
      <c r="I155" s="245"/>
      <c r="J155" s="247"/>
      <c r="K155" s="248"/>
      <c r="L155" s="249"/>
    </row>
    <row r="156" spans="1:12" ht="105" customHeight="1" x14ac:dyDescent="0.25">
      <c r="A156" s="253"/>
      <c r="B156" s="254"/>
      <c r="C156" s="188"/>
      <c r="D156" s="191"/>
      <c r="E156" s="259"/>
      <c r="F156" s="260"/>
      <c r="G156" s="41"/>
      <c r="H156" s="246"/>
      <c r="I156" s="246"/>
      <c r="J156" s="250"/>
      <c r="K156" s="251"/>
      <c r="L156" s="252"/>
    </row>
    <row r="157" spans="1:12" ht="105" customHeight="1" x14ac:dyDescent="0.25">
      <c r="A157" s="255"/>
      <c r="B157" s="256"/>
      <c r="C157" s="257"/>
      <c r="D157" s="191"/>
      <c r="E157" s="258"/>
      <c r="F157" s="260"/>
      <c r="G157" s="56"/>
      <c r="H157" s="245"/>
      <c r="I157" s="245"/>
      <c r="J157" s="247"/>
      <c r="K157" s="248"/>
      <c r="L157" s="249"/>
    </row>
    <row r="158" spans="1:12" ht="105" customHeight="1" x14ac:dyDescent="0.25">
      <c r="A158" s="253"/>
      <c r="B158" s="254"/>
      <c r="C158" s="188"/>
      <c r="D158" s="191"/>
      <c r="E158" s="259"/>
      <c r="F158" s="260"/>
      <c r="G158" s="41"/>
      <c r="H158" s="246"/>
      <c r="I158" s="246"/>
      <c r="J158" s="250"/>
      <c r="K158" s="251"/>
      <c r="L158" s="252"/>
    </row>
    <row r="159" spans="1:12" ht="105" customHeight="1" x14ac:dyDescent="0.25">
      <c r="A159" s="274"/>
      <c r="B159" s="257"/>
      <c r="C159" s="190"/>
      <c r="D159" s="191"/>
      <c r="E159" s="258"/>
      <c r="F159" s="260"/>
      <c r="G159" s="56"/>
      <c r="H159" s="245"/>
      <c r="I159" s="245"/>
      <c r="J159" s="247"/>
      <c r="K159" s="248"/>
      <c r="L159" s="249"/>
    </row>
    <row r="160" spans="1:12" ht="105" customHeight="1" x14ac:dyDescent="0.25">
      <c r="A160" s="270"/>
      <c r="B160" s="188"/>
      <c r="C160" s="271"/>
      <c r="D160" s="191"/>
      <c r="E160" s="259"/>
      <c r="F160" s="260"/>
      <c r="G160" s="41"/>
      <c r="H160" s="246"/>
      <c r="I160" s="246"/>
      <c r="J160" s="250"/>
      <c r="K160" s="251"/>
      <c r="L160" s="252"/>
    </row>
    <row r="161" spans="1:12" ht="105" customHeight="1" x14ac:dyDescent="0.25">
      <c r="A161" s="255"/>
      <c r="B161" s="256"/>
      <c r="C161" s="257"/>
      <c r="D161" s="191"/>
      <c r="E161" s="272"/>
      <c r="F161" s="267"/>
      <c r="G161" s="56"/>
      <c r="H161" s="245"/>
      <c r="I161" s="245"/>
      <c r="J161" s="247"/>
      <c r="K161" s="248"/>
      <c r="L161" s="249"/>
    </row>
    <row r="162" spans="1:12" ht="105" customHeight="1" x14ac:dyDescent="0.25">
      <c r="A162" s="253"/>
      <c r="B162" s="254"/>
      <c r="C162" s="188"/>
      <c r="D162" s="191"/>
      <c r="E162" s="273"/>
      <c r="F162" s="268"/>
      <c r="G162" s="41"/>
      <c r="H162" s="246"/>
      <c r="I162" s="246"/>
      <c r="J162" s="250"/>
      <c r="K162" s="251"/>
      <c r="L162" s="252"/>
    </row>
    <row r="163" spans="1:12" ht="105" customHeight="1" x14ac:dyDescent="0.25">
      <c r="A163" s="255"/>
      <c r="B163" s="256"/>
      <c r="C163" s="257"/>
      <c r="D163" s="191"/>
      <c r="E163" s="258"/>
      <c r="F163" s="260"/>
      <c r="G163" s="56"/>
      <c r="H163" s="245"/>
      <c r="I163" s="245"/>
      <c r="J163" s="247"/>
      <c r="K163" s="248"/>
      <c r="L163" s="249"/>
    </row>
    <row r="164" spans="1:12" ht="105" customHeight="1" x14ac:dyDescent="0.25">
      <c r="A164" s="253"/>
      <c r="B164" s="254"/>
      <c r="C164" s="188"/>
      <c r="D164" s="191"/>
      <c r="E164" s="259"/>
      <c r="F164" s="260"/>
      <c r="G164" s="41"/>
      <c r="H164" s="246"/>
      <c r="I164" s="246"/>
      <c r="J164" s="250"/>
      <c r="K164" s="251"/>
      <c r="L164" s="252"/>
    </row>
    <row r="165" spans="1:12" ht="105" customHeight="1" x14ac:dyDescent="0.25">
      <c r="A165" s="261"/>
      <c r="B165" s="262"/>
      <c r="C165" s="263"/>
      <c r="D165" s="264"/>
      <c r="E165" s="265"/>
      <c r="F165" s="267"/>
      <c r="G165" s="56"/>
      <c r="H165" s="245"/>
      <c r="I165" s="245"/>
      <c r="J165" s="247"/>
      <c r="K165" s="248"/>
      <c r="L165" s="249"/>
    </row>
    <row r="166" spans="1:12" ht="105" customHeight="1" x14ac:dyDescent="0.25">
      <c r="A166" s="269"/>
      <c r="B166" s="262"/>
      <c r="C166" s="263"/>
      <c r="D166" s="191"/>
      <c r="E166" s="266"/>
      <c r="F166" s="268"/>
      <c r="G166" s="41"/>
      <c r="H166" s="246"/>
      <c r="I166" s="246"/>
      <c r="J166" s="250"/>
      <c r="K166" s="251"/>
      <c r="L166" s="252"/>
    </row>
    <row r="167" spans="1:12" ht="105" customHeight="1" x14ac:dyDescent="0.25">
      <c r="A167" s="255"/>
      <c r="B167" s="256"/>
      <c r="C167" s="257"/>
      <c r="D167" s="191"/>
      <c r="E167" s="258"/>
      <c r="F167" s="260"/>
      <c r="G167" s="56"/>
      <c r="H167" s="245"/>
      <c r="I167" s="245"/>
      <c r="J167" s="247"/>
      <c r="K167" s="248"/>
      <c r="L167" s="249"/>
    </row>
    <row r="168" spans="1:12" ht="105" customHeight="1" x14ac:dyDescent="0.25">
      <c r="A168" s="253"/>
      <c r="B168" s="254"/>
      <c r="C168" s="188"/>
      <c r="D168" s="191"/>
      <c r="E168" s="259"/>
      <c r="F168" s="260"/>
      <c r="G168" s="41"/>
      <c r="H168" s="246"/>
      <c r="I168" s="246"/>
      <c r="J168" s="250"/>
      <c r="K168" s="251"/>
      <c r="L168" s="252"/>
    </row>
    <row r="169" spans="1:12" ht="105" customHeight="1" x14ac:dyDescent="0.25">
      <c r="A169" s="255"/>
      <c r="B169" s="256"/>
      <c r="C169" s="257"/>
      <c r="D169" s="191"/>
      <c r="E169" s="258"/>
      <c r="F169" s="260"/>
      <c r="G169" s="56"/>
      <c r="H169" s="245"/>
      <c r="I169" s="245"/>
      <c r="J169" s="247"/>
      <c r="K169" s="248"/>
      <c r="L169" s="249"/>
    </row>
    <row r="170" spans="1:12" ht="105" customHeight="1" x14ac:dyDescent="0.25">
      <c r="A170" s="253"/>
      <c r="B170" s="254"/>
      <c r="C170" s="188"/>
      <c r="D170" s="191"/>
      <c r="E170" s="259"/>
      <c r="F170" s="260"/>
      <c r="G170" s="41"/>
      <c r="H170" s="246"/>
      <c r="I170" s="246"/>
      <c r="J170" s="250"/>
      <c r="K170" s="251"/>
      <c r="L170" s="252"/>
    </row>
    <row r="171" spans="1:12" ht="105" customHeight="1" x14ac:dyDescent="0.25">
      <c r="A171" s="255"/>
      <c r="B171" s="256"/>
      <c r="C171" s="257"/>
      <c r="D171" s="191"/>
      <c r="E171" s="258"/>
      <c r="F171" s="260"/>
      <c r="G171" s="56"/>
      <c r="H171" s="245"/>
      <c r="I171" s="245"/>
      <c r="J171" s="247"/>
      <c r="K171" s="248"/>
      <c r="L171" s="249"/>
    </row>
    <row r="172" spans="1:12" ht="105" customHeight="1" x14ac:dyDescent="0.25">
      <c r="A172" s="253"/>
      <c r="B172" s="254"/>
      <c r="C172" s="188"/>
      <c r="D172" s="191"/>
      <c r="E172" s="259"/>
      <c r="F172" s="260"/>
      <c r="G172" s="41"/>
      <c r="H172" s="246"/>
      <c r="I172" s="246"/>
      <c r="J172" s="250"/>
      <c r="K172" s="251"/>
      <c r="L172" s="252"/>
    </row>
    <row r="173" spans="1:12" ht="105" customHeight="1" x14ac:dyDescent="0.25">
      <c r="A173" s="274"/>
      <c r="B173" s="257"/>
      <c r="C173" s="190"/>
      <c r="D173" s="191"/>
      <c r="E173" s="258"/>
      <c r="F173" s="260"/>
      <c r="G173" s="56"/>
      <c r="H173" s="245"/>
      <c r="I173" s="245"/>
      <c r="J173" s="247"/>
      <c r="K173" s="248"/>
      <c r="L173" s="249"/>
    </row>
    <row r="174" spans="1:12" ht="105" customHeight="1" x14ac:dyDescent="0.25">
      <c r="A174" s="270"/>
      <c r="B174" s="188"/>
      <c r="C174" s="271"/>
      <c r="D174" s="191"/>
      <c r="E174" s="259"/>
      <c r="F174" s="260"/>
      <c r="G174" s="41"/>
      <c r="H174" s="246"/>
      <c r="I174" s="246"/>
      <c r="J174" s="250"/>
      <c r="K174" s="251"/>
      <c r="L174" s="252"/>
    </row>
    <row r="175" spans="1:12" ht="105" customHeight="1" x14ac:dyDescent="0.25">
      <c r="A175" s="255"/>
      <c r="B175" s="256"/>
      <c r="C175" s="257"/>
      <c r="D175" s="191"/>
      <c r="E175" s="272"/>
      <c r="F175" s="267"/>
      <c r="G175" s="56"/>
      <c r="H175" s="245"/>
      <c r="I175" s="245"/>
      <c r="J175" s="247"/>
      <c r="K175" s="248"/>
      <c r="L175" s="249"/>
    </row>
    <row r="176" spans="1:12" ht="105" customHeight="1" x14ac:dyDescent="0.25">
      <c r="A176" s="253"/>
      <c r="B176" s="254"/>
      <c r="C176" s="188"/>
      <c r="D176" s="191"/>
      <c r="E176" s="273"/>
      <c r="F176" s="268"/>
      <c r="G176" s="41"/>
      <c r="H176" s="246"/>
      <c r="I176" s="246"/>
      <c r="J176" s="250"/>
      <c r="K176" s="251"/>
      <c r="L176" s="252"/>
    </row>
    <row r="177" spans="1:12" ht="105" customHeight="1" x14ac:dyDescent="0.25">
      <c r="A177" s="255"/>
      <c r="B177" s="256"/>
      <c r="C177" s="257"/>
      <c r="D177" s="191"/>
      <c r="E177" s="258"/>
      <c r="F177" s="260"/>
      <c r="G177" s="56"/>
      <c r="H177" s="245"/>
      <c r="I177" s="245"/>
      <c r="J177" s="247"/>
      <c r="K177" s="248"/>
      <c r="L177" s="249"/>
    </row>
    <row r="178" spans="1:12" ht="105" customHeight="1" x14ac:dyDescent="0.25">
      <c r="A178" s="253"/>
      <c r="B178" s="254"/>
      <c r="C178" s="188"/>
      <c r="D178" s="191"/>
      <c r="E178" s="259"/>
      <c r="F178" s="260"/>
      <c r="G178" s="41"/>
      <c r="H178" s="246"/>
      <c r="I178" s="246"/>
      <c r="J178" s="250"/>
      <c r="K178" s="251"/>
      <c r="L178" s="252"/>
    </row>
    <row r="179" spans="1:12" ht="105" customHeight="1" x14ac:dyDescent="0.25">
      <c r="A179" s="269"/>
      <c r="B179" s="262"/>
      <c r="C179" s="263"/>
      <c r="D179" s="264"/>
      <c r="E179" s="265"/>
      <c r="F179" s="267"/>
      <c r="G179" s="40"/>
      <c r="H179" s="245"/>
      <c r="I179" s="245"/>
      <c r="J179" s="247"/>
      <c r="K179" s="248"/>
      <c r="L179" s="249"/>
    </row>
    <row r="180" spans="1:12" ht="105" customHeight="1" x14ac:dyDescent="0.25">
      <c r="A180" s="269"/>
      <c r="B180" s="262"/>
      <c r="C180" s="263"/>
      <c r="D180" s="191"/>
      <c r="E180" s="266"/>
      <c r="F180" s="268"/>
      <c r="G180" s="41"/>
      <c r="H180" s="246"/>
      <c r="I180" s="246"/>
      <c r="J180" s="250"/>
      <c r="K180" s="251"/>
      <c r="L180" s="252"/>
    </row>
    <row r="181" spans="1:12" ht="105" customHeight="1" x14ac:dyDescent="0.25">
      <c r="A181" s="275"/>
      <c r="B181" s="256"/>
      <c r="C181" s="257"/>
      <c r="D181" s="191"/>
      <c r="E181" s="258"/>
      <c r="F181" s="260"/>
      <c r="G181" s="40"/>
      <c r="H181" s="245"/>
      <c r="I181" s="245"/>
      <c r="J181" s="247"/>
      <c r="K181" s="248"/>
      <c r="L181" s="249"/>
    </row>
    <row r="182" spans="1:12" ht="105" customHeight="1" x14ac:dyDescent="0.25">
      <c r="A182" s="253"/>
      <c r="B182" s="254"/>
      <c r="C182" s="188"/>
      <c r="D182" s="191"/>
      <c r="E182" s="259"/>
      <c r="F182" s="260"/>
      <c r="G182" s="41"/>
      <c r="H182" s="246"/>
      <c r="I182" s="246"/>
      <c r="J182" s="250"/>
      <c r="K182" s="251"/>
      <c r="L182" s="252"/>
    </row>
    <row r="183" spans="1:12" ht="105" customHeight="1" x14ac:dyDescent="0.25">
      <c r="A183" s="275"/>
      <c r="B183" s="256"/>
      <c r="C183" s="257"/>
      <c r="D183" s="191"/>
      <c r="E183" s="258"/>
      <c r="F183" s="260"/>
      <c r="G183" s="40"/>
      <c r="H183" s="245"/>
      <c r="I183" s="245"/>
      <c r="J183" s="247"/>
      <c r="K183" s="248"/>
      <c r="L183" s="249"/>
    </row>
    <row r="184" spans="1:12" ht="105" customHeight="1" x14ac:dyDescent="0.25">
      <c r="A184" s="253"/>
      <c r="B184" s="254"/>
      <c r="C184" s="188"/>
      <c r="D184" s="191"/>
      <c r="E184" s="259"/>
      <c r="F184" s="260"/>
      <c r="G184" s="41"/>
      <c r="H184" s="246"/>
      <c r="I184" s="246"/>
      <c r="J184" s="250"/>
      <c r="K184" s="251"/>
      <c r="L184" s="252"/>
    </row>
    <row r="185" spans="1:12" ht="105" customHeight="1" x14ac:dyDescent="0.25">
      <c r="A185" s="275"/>
      <c r="B185" s="256"/>
      <c r="C185" s="257"/>
      <c r="D185" s="191"/>
      <c r="E185" s="258"/>
      <c r="F185" s="260"/>
      <c r="G185" s="40"/>
      <c r="H185" s="245"/>
      <c r="I185" s="245"/>
      <c r="J185" s="247"/>
      <c r="K185" s="248"/>
      <c r="L185" s="249"/>
    </row>
    <row r="186" spans="1:12" ht="105" customHeight="1" x14ac:dyDescent="0.25">
      <c r="A186" s="253"/>
      <c r="B186" s="254"/>
      <c r="C186" s="188"/>
      <c r="D186" s="191"/>
      <c r="E186" s="259"/>
      <c r="F186" s="260"/>
      <c r="G186" s="41"/>
      <c r="H186" s="246"/>
      <c r="I186" s="246"/>
      <c r="J186" s="250"/>
      <c r="K186" s="251"/>
      <c r="L186" s="252"/>
    </row>
    <row r="187" spans="1:12" ht="105" customHeight="1" x14ac:dyDescent="0.25">
      <c r="A187" s="276"/>
      <c r="B187" s="257"/>
      <c r="C187" s="190"/>
      <c r="D187" s="191"/>
      <c r="E187" s="258"/>
      <c r="F187" s="260"/>
      <c r="G187" s="40"/>
      <c r="H187" s="245"/>
      <c r="I187" s="245"/>
      <c r="J187" s="247"/>
      <c r="K187" s="248"/>
      <c r="L187" s="249"/>
    </row>
    <row r="188" spans="1:12" ht="105" customHeight="1" x14ac:dyDescent="0.25">
      <c r="A188" s="270"/>
      <c r="B188" s="188"/>
      <c r="C188" s="271"/>
      <c r="D188" s="191"/>
      <c r="E188" s="259"/>
      <c r="F188" s="260"/>
      <c r="G188" s="41"/>
      <c r="H188" s="246"/>
      <c r="I188" s="246"/>
      <c r="J188" s="250"/>
      <c r="K188" s="251"/>
      <c r="L188" s="252"/>
    </row>
    <row r="189" spans="1:12" ht="105" customHeight="1" x14ac:dyDescent="0.25">
      <c r="A189" s="275"/>
      <c r="B189" s="256"/>
      <c r="C189" s="257"/>
      <c r="D189" s="191"/>
      <c r="E189" s="272"/>
      <c r="F189" s="267"/>
      <c r="G189" s="40"/>
      <c r="H189" s="245"/>
      <c r="I189" s="245"/>
      <c r="J189" s="247"/>
      <c r="K189" s="248"/>
      <c r="L189" s="249"/>
    </row>
    <row r="190" spans="1:12" ht="105" customHeight="1" x14ac:dyDescent="0.25">
      <c r="A190" s="253"/>
      <c r="B190" s="254"/>
      <c r="C190" s="188"/>
      <c r="D190" s="191"/>
      <c r="E190" s="273"/>
      <c r="F190" s="268"/>
      <c r="G190" s="41"/>
      <c r="H190" s="246"/>
      <c r="I190" s="246"/>
      <c r="J190" s="250"/>
      <c r="K190" s="251"/>
      <c r="L190" s="252"/>
    </row>
    <row r="191" spans="1:12" ht="105" customHeight="1" x14ac:dyDescent="0.25">
      <c r="A191" s="275"/>
      <c r="B191" s="256"/>
      <c r="C191" s="257"/>
      <c r="D191" s="191"/>
      <c r="E191" s="258"/>
      <c r="F191" s="260"/>
      <c r="G191" s="40"/>
      <c r="H191" s="245"/>
      <c r="I191" s="245"/>
      <c r="J191" s="247"/>
      <c r="K191" s="248"/>
      <c r="L191" s="249"/>
    </row>
    <row r="192" spans="1:12" ht="105" customHeight="1" x14ac:dyDescent="0.25">
      <c r="A192" s="253"/>
      <c r="B192" s="254"/>
      <c r="C192" s="188"/>
      <c r="D192" s="191"/>
      <c r="E192" s="259"/>
      <c r="F192" s="260"/>
      <c r="G192" s="41"/>
      <c r="H192" s="246"/>
      <c r="I192" s="246"/>
      <c r="J192" s="250"/>
      <c r="K192" s="251"/>
      <c r="L192" s="252"/>
    </row>
    <row r="193" spans="1:12" ht="105" customHeight="1" x14ac:dyDescent="0.25">
      <c r="A193" s="269"/>
      <c r="B193" s="262"/>
      <c r="C193" s="263"/>
      <c r="D193" s="264"/>
      <c r="E193" s="265"/>
      <c r="F193" s="267"/>
      <c r="G193" s="40"/>
      <c r="H193" s="245"/>
      <c r="I193" s="245"/>
      <c r="J193" s="247"/>
      <c r="K193" s="248"/>
      <c r="L193" s="249"/>
    </row>
    <row r="194" spans="1:12" ht="105" customHeight="1" x14ac:dyDescent="0.25">
      <c r="A194" s="269"/>
      <c r="B194" s="262"/>
      <c r="C194" s="263"/>
      <c r="D194" s="191"/>
      <c r="E194" s="266"/>
      <c r="F194" s="268"/>
      <c r="G194" s="41"/>
      <c r="H194" s="246"/>
      <c r="I194" s="246"/>
      <c r="J194" s="250"/>
      <c r="K194" s="251"/>
      <c r="L194" s="252"/>
    </row>
    <row r="195" spans="1:12" ht="105" customHeight="1" x14ac:dyDescent="0.25">
      <c r="A195" s="275"/>
      <c r="B195" s="256"/>
      <c r="C195" s="257"/>
      <c r="D195" s="191"/>
      <c r="E195" s="258"/>
      <c r="F195" s="260"/>
      <c r="G195" s="40"/>
      <c r="H195" s="245"/>
      <c r="I195" s="245"/>
      <c r="J195" s="247"/>
      <c r="K195" s="248"/>
      <c r="L195" s="249"/>
    </row>
    <row r="196" spans="1:12" ht="105" customHeight="1" x14ac:dyDescent="0.25">
      <c r="A196" s="253"/>
      <c r="B196" s="254"/>
      <c r="C196" s="188"/>
      <c r="D196" s="191"/>
      <c r="E196" s="259"/>
      <c r="F196" s="260"/>
      <c r="G196" s="41"/>
      <c r="H196" s="246"/>
      <c r="I196" s="246"/>
      <c r="J196" s="250"/>
      <c r="K196" s="251"/>
      <c r="L196" s="252"/>
    </row>
    <row r="197" spans="1:12" ht="105" customHeight="1" x14ac:dyDescent="0.25">
      <c r="A197" s="275"/>
      <c r="B197" s="256"/>
      <c r="C197" s="257"/>
      <c r="D197" s="191"/>
      <c r="E197" s="258"/>
      <c r="F197" s="260"/>
      <c r="G197" s="40"/>
      <c r="H197" s="245"/>
      <c r="I197" s="245"/>
      <c r="J197" s="247"/>
      <c r="K197" s="248"/>
      <c r="L197" s="249"/>
    </row>
    <row r="198" spans="1:12" ht="105" customHeight="1" x14ac:dyDescent="0.25">
      <c r="A198" s="253"/>
      <c r="B198" s="254"/>
      <c r="C198" s="188"/>
      <c r="D198" s="191"/>
      <c r="E198" s="259"/>
      <c r="F198" s="260"/>
      <c r="G198" s="41"/>
      <c r="H198" s="246"/>
      <c r="I198" s="246"/>
      <c r="J198" s="250"/>
      <c r="K198" s="251"/>
      <c r="L198" s="252"/>
    </row>
    <row r="199" spans="1:12" ht="105" customHeight="1" x14ac:dyDescent="0.25">
      <c r="A199" s="275"/>
      <c r="B199" s="256"/>
      <c r="C199" s="257"/>
      <c r="D199" s="191"/>
      <c r="E199" s="258"/>
      <c r="F199" s="260"/>
      <c r="G199" s="40"/>
      <c r="H199" s="245"/>
      <c r="I199" s="245"/>
      <c r="J199" s="247"/>
      <c r="K199" s="248"/>
      <c r="L199" s="249"/>
    </row>
    <row r="200" spans="1:12" ht="105" customHeight="1" x14ac:dyDescent="0.25">
      <c r="A200" s="253"/>
      <c r="B200" s="254"/>
      <c r="C200" s="188"/>
      <c r="D200" s="191"/>
      <c r="E200" s="259"/>
      <c r="F200" s="260"/>
      <c r="G200" s="41"/>
      <c r="H200" s="246"/>
      <c r="I200" s="246"/>
      <c r="J200" s="250"/>
      <c r="K200" s="251"/>
      <c r="L200" s="252"/>
    </row>
    <row r="201" spans="1:12" ht="105" customHeight="1" x14ac:dyDescent="0.25">
      <c r="A201" s="276"/>
      <c r="B201" s="257"/>
      <c r="C201" s="190"/>
      <c r="D201" s="191"/>
      <c r="E201" s="258"/>
      <c r="F201" s="260"/>
      <c r="G201" s="40"/>
      <c r="H201" s="245"/>
      <c r="I201" s="245"/>
      <c r="J201" s="247"/>
      <c r="K201" s="248"/>
      <c r="L201" s="249"/>
    </row>
    <row r="202" spans="1:12" ht="105" customHeight="1" x14ac:dyDescent="0.25">
      <c r="A202" s="270"/>
      <c r="B202" s="188"/>
      <c r="C202" s="271"/>
      <c r="D202" s="191"/>
      <c r="E202" s="259"/>
      <c r="F202" s="260"/>
      <c r="G202" s="41"/>
      <c r="H202" s="246"/>
      <c r="I202" s="246"/>
      <c r="J202" s="250"/>
      <c r="K202" s="251"/>
      <c r="L202" s="252"/>
    </row>
    <row r="203" spans="1:12" ht="105" customHeight="1" x14ac:dyDescent="0.25">
      <c r="A203" s="275"/>
      <c r="B203" s="256"/>
      <c r="C203" s="257"/>
      <c r="D203" s="191"/>
      <c r="E203" s="272"/>
      <c r="F203" s="267"/>
      <c r="G203" s="40"/>
      <c r="H203" s="245"/>
      <c r="I203" s="245"/>
      <c r="J203" s="247"/>
      <c r="K203" s="248"/>
      <c r="L203" s="249"/>
    </row>
    <row r="204" spans="1:12" ht="105" customHeight="1" x14ac:dyDescent="0.25">
      <c r="A204" s="253"/>
      <c r="B204" s="254"/>
      <c r="C204" s="188"/>
      <c r="D204" s="191"/>
      <c r="E204" s="273"/>
      <c r="F204" s="268"/>
      <c r="G204" s="41"/>
      <c r="H204" s="246"/>
      <c r="I204" s="246"/>
      <c r="J204" s="250"/>
      <c r="K204" s="251"/>
      <c r="L204" s="252"/>
    </row>
    <row r="205" spans="1:12" ht="105" customHeight="1" x14ac:dyDescent="0.25">
      <c r="A205" s="275"/>
      <c r="B205" s="256"/>
      <c r="C205" s="257"/>
      <c r="D205" s="191"/>
      <c r="E205" s="258"/>
      <c r="F205" s="260"/>
      <c r="G205" s="40"/>
      <c r="H205" s="245"/>
      <c r="I205" s="245"/>
      <c r="J205" s="247"/>
      <c r="K205" s="248"/>
      <c r="L205" s="249"/>
    </row>
    <row r="206" spans="1:12" ht="105" customHeight="1" x14ac:dyDescent="0.25">
      <c r="A206" s="253"/>
      <c r="B206" s="254"/>
      <c r="C206" s="188"/>
      <c r="D206" s="191"/>
      <c r="E206" s="259"/>
      <c r="F206" s="260"/>
      <c r="G206" s="41"/>
      <c r="H206" s="246"/>
      <c r="I206" s="246"/>
      <c r="J206" s="250"/>
      <c r="K206" s="251"/>
      <c r="L206" s="252"/>
    </row>
    <row r="207" spans="1:12" ht="105" customHeight="1" x14ac:dyDescent="0.25">
      <c r="A207" s="269"/>
      <c r="B207" s="262"/>
      <c r="C207" s="263"/>
      <c r="D207" s="264"/>
      <c r="E207" s="265"/>
      <c r="F207" s="267"/>
      <c r="G207" s="40"/>
      <c r="H207" s="245"/>
      <c r="I207" s="245"/>
      <c r="J207" s="247"/>
      <c r="K207" s="248"/>
      <c r="L207" s="249"/>
    </row>
    <row r="208" spans="1:12" ht="105" customHeight="1" x14ac:dyDescent="0.25">
      <c r="A208" s="269"/>
      <c r="B208" s="262"/>
      <c r="C208" s="263"/>
      <c r="D208" s="191"/>
      <c r="E208" s="266"/>
      <c r="F208" s="268"/>
      <c r="G208" s="41"/>
      <c r="H208" s="246"/>
      <c r="I208" s="246"/>
      <c r="J208" s="250"/>
      <c r="K208" s="251"/>
      <c r="L208" s="252"/>
    </row>
    <row r="209" spans="1:12" ht="105" customHeight="1" x14ac:dyDescent="0.25">
      <c r="A209" s="275"/>
      <c r="B209" s="256"/>
      <c r="C209" s="257"/>
      <c r="D209" s="191"/>
      <c r="E209" s="258"/>
      <c r="F209" s="260"/>
      <c r="G209" s="40"/>
      <c r="H209" s="245"/>
      <c r="I209" s="245"/>
      <c r="J209" s="247"/>
      <c r="K209" s="248"/>
      <c r="L209" s="249"/>
    </row>
    <row r="210" spans="1:12" ht="105" customHeight="1" x14ac:dyDescent="0.25">
      <c r="A210" s="253"/>
      <c r="B210" s="254"/>
      <c r="C210" s="188"/>
      <c r="D210" s="191"/>
      <c r="E210" s="259"/>
      <c r="F210" s="260"/>
      <c r="G210" s="41"/>
      <c r="H210" s="246"/>
      <c r="I210" s="246"/>
      <c r="J210" s="250"/>
      <c r="K210" s="251"/>
      <c r="L210" s="252"/>
    </row>
    <row r="211" spans="1:12" ht="105" customHeight="1" x14ac:dyDescent="0.25">
      <c r="A211" s="275"/>
      <c r="B211" s="256"/>
      <c r="C211" s="257"/>
      <c r="D211" s="191"/>
      <c r="E211" s="258"/>
      <c r="F211" s="260"/>
      <c r="G211" s="40"/>
      <c r="H211" s="245"/>
      <c r="I211" s="245"/>
      <c r="J211" s="247"/>
      <c r="K211" s="248"/>
      <c r="L211" s="249"/>
    </row>
    <row r="212" spans="1:12" ht="105" customHeight="1" x14ac:dyDescent="0.25">
      <c r="A212" s="253"/>
      <c r="B212" s="254"/>
      <c r="C212" s="188"/>
      <c r="D212" s="191"/>
      <c r="E212" s="259"/>
      <c r="F212" s="260"/>
      <c r="G212" s="41"/>
      <c r="H212" s="246"/>
      <c r="I212" s="246"/>
      <c r="J212" s="250"/>
      <c r="K212" s="251"/>
      <c r="L212" s="252"/>
    </row>
    <row r="213" spans="1:12" ht="105" customHeight="1" x14ac:dyDescent="0.25">
      <c r="A213" s="275"/>
      <c r="B213" s="256"/>
      <c r="C213" s="257"/>
      <c r="D213" s="191"/>
      <c r="E213" s="258"/>
      <c r="F213" s="260"/>
      <c r="G213" s="40"/>
      <c r="H213" s="245"/>
      <c r="I213" s="245"/>
      <c r="J213" s="247"/>
      <c r="K213" s="248"/>
      <c r="L213" s="249"/>
    </row>
    <row r="214" spans="1:12" ht="105" customHeight="1" x14ac:dyDescent="0.25">
      <c r="A214" s="253"/>
      <c r="B214" s="254"/>
      <c r="C214" s="188"/>
      <c r="D214" s="191"/>
      <c r="E214" s="259"/>
      <c r="F214" s="260"/>
      <c r="G214" s="41"/>
      <c r="H214" s="246"/>
      <c r="I214" s="246"/>
      <c r="J214" s="250"/>
      <c r="K214" s="251"/>
      <c r="L214" s="252"/>
    </row>
    <row r="215" spans="1:12" ht="105" customHeight="1" x14ac:dyDescent="0.25">
      <c r="A215" s="276"/>
      <c r="B215" s="257"/>
      <c r="C215" s="190"/>
      <c r="D215" s="191"/>
      <c r="E215" s="258"/>
      <c r="F215" s="260"/>
      <c r="G215" s="40"/>
      <c r="H215" s="245"/>
      <c r="I215" s="245"/>
      <c r="J215" s="247"/>
      <c r="K215" s="248"/>
      <c r="L215" s="249"/>
    </row>
    <row r="216" spans="1:12" ht="105" customHeight="1" x14ac:dyDescent="0.25">
      <c r="A216" s="270"/>
      <c r="B216" s="188"/>
      <c r="C216" s="271"/>
      <c r="D216" s="191"/>
      <c r="E216" s="259"/>
      <c r="F216" s="260"/>
      <c r="G216" s="41"/>
      <c r="H216" s="246"/>
      <c r="I216" s="246"/>
      <c r="J216" s="250"/>
      <c r="K216" s="251"/>
      <c r="L216" s="252"/>
    </row>
    <row r="217" spans="1:12" ht="105" customHeight="1" x14ac:dyDescent="0.25">
      <c r="A217" s="275"/>
      <c r="B217" s="256"/>
      <c r="C217" s="257"/>
      <c r="D217" s="191"/>
      <c r="E217" s="272"/>
      <c r="F217" s="267"/>
      <c r="G217" s="40"/>
      <c r="H217" s="245"/>
      <c r="I217" s="245"/>
      <c r="J217" s="247"/>
      <c r="K217" s="248"/>
      <c r="L217" s="249"/>
    </row>
    <row r="218" spans="1:12" ht="105" customHeight="1" x14ac:dyDescent="0.25">
      <c r="A218" s="253"/>
      <c r="B218" s="254"/>
      <c r="C218" s="188"/>
      <c r="D218" s="191"/>
      <c r="E218" s="273"/>
      <c r="F218" s="268"/>
      <c r="G218" s="41"/>
      <c r="H218" s="246"/>
      <c r="I218" s="246"/>
      <c r="J218" s="250"/>
      <c r="K218" s="251"/>
      <c r="L218" s="252"/>
    </row>
    <row r="219" spans="1:12" ht="105" customHeight="1" x14ac:dyDescent="0.25">
      <c r="A219" s="275"/>
      <c r="B219" s="256"/>
      <c r="C219" s="257"/>
      <c r="D219" s="191"/>
      <c r="E219" s="258"/>
      <c r="F219" s="260"/>
      <c r="G219" s="40"/>
      <c r="H219" s="245"/>
      <c r="I219" s="245"/>
      <c r="J219" s="247"/>
      <c r="K219" s="248"/>
      <c r="L219" s="249"/>
    </row>
    <row r="220" spans="1:12" ht="105" customHeight="1" x14ac:dyDescent="0.25">
      <c r="A220" s="253"/>
      <c r="B220" s="254"/>
      <c r="C220" s="188"/>
      <c r="D220" s="191"/>
      <c r="E220" s="259"/>
      <c r="F220" s="260"/>
      <c r="G220" s="41"/>
      <c r="H220" s="246"/>
      <c r="I220" s="246"/>
      <c r="J220" s="250"/>
      <c r="K220" s="251"/>
      <c r="L220" s="252"/>
    </row>
    <row r="221" spans="1:12" ht="105" customHeight="1" x14ac:dyDescent="0.25">
      <c r="A221" s="269"/>
      <c r="B221" s="262"/>
      <c r="C221" s="263"/>
      <c r="D221" s="264"/>
      <c r="E221" s="265"/>
      <c r="F221" s="267"/>
      <c r="G221" s="40"/>
      <c r="H221" s="245"/>
      <c r="I221" s="245"/>
      <c r="J221" s="247"/>
      <c r="K221" s="248"/>
      <c r="L221" s="249"/>
    </row>
    <row r="222" spans="1:12" ht="105" customHeight="1" x14ac:dyDescent="0.25">
      <c r="A222" s="269"/>
      <c r="B222" s="262"/>
      <c r="C222" s="263"/>
      <c r="D222" s="191"/>
      <c r="E222" s="266"/>
      <c r="F222" s="268"/>
      <c r="G222" s="41"/>
      <c r="H222" s="246"/>
      <c r="I222" s="246"/>
      <c r="J222" s="250"/>
      <c r="K222" s="251"/>
      <c r="L222" s="252"/>
    </row>
    <row r="223" spans="1:12" ht="15.75" x14ac:dyDescent="0.25">
      <c r="A223" s="18"/>
      <c r="B223" s="19"/>
      <c r="C223" s="19"/>
      <c r="D223" s="19"/>
      <c r="E223" s="19"/>
      <c r="F223" s="20"/>
      <c r="G223" s="20"/>
      <c r="H223" s="20"/>
      <c r="I223" s="20"/>
      <c r="J223" s="20"/>
      <c r="K223" s="20"/>
      <c r="L223" s="28"/>
    </row>
    <row r="224" spans="1:12" ht="51" customHeight="1" x14ac:dyDescent="0.25">
      <c r="A224" s="296" t="s">
        <v>1</v>
      </c>
      <c r="B224" s="278"/>
      <c r="C224" s="278"/>
      <c r="D224" s="297"/>
      <c r="E224" s="277" t="s">
        <v>2</v>
      </c>
      <c r="F224" s="278"/>
      <c r="G224" s="278"/>
      <c r="H224" s="278"/>
      <c r="I224" s="277" t="s">
        <v>0</v>
      </c>
      <c r="J224" s="278"/>
      <c r="K224" s="278"/>
      <c r="L224" s="279"/>
    </row>
    <row r="225" spans="1:12" ht="45" customHeight="1" x14ac:dyDescent="0.25">
      <c r="A225" s="302" t="s">
        <v>109</v>
      </c>
      <c r="B225" s="281"/>
      <c r="C225" s="281"/>
      <c r="D225" s="303"/>
      <c r="E225" s="280" t="s">
        <v>75</v>
      </c>
      <c r="F225" s="281"/>
      <c r="G225" s="281"/>
      <c r="H225" s="303"/>
      <c r="I225" s="280" t="s">
        <v>75</v>
      </c>
      <c r="J225" s="281"/>
      <c r="K225" s="281"/>
      <c r="L225" s="282"/>
    </row>
    <row r="226" spans="1:12" ht="124.5" customHeight="1" x14ac:dyDescent="0.25">
      <c r="A226" s="298" t="s">
        <v>17</v>
      </c>
      <c r="B226" s="284"/>
      <c r="C226" s="284"/>
      <c r="D226" s="15"/>
      <c r="E226" s="299" t="s">
        <v>19</v>
      </c>
      <c r="F226" s="300"/>
      <c r="G226" s="300"/>
      <c r="H226" s="301"/>
      <c r="I226" s="283" t="s">
        <v>17</v>
      </c>
      <c r="J226" s="284"/>
      <c r="K226" s="284"/>
      <c r="L226" s="285"/>
    </row>
    <row r="227" spans="1:12" ht="54" customHeight="1" thickBot="1" x14ac:dyDescent="0.3">
      <c r="A227" s="292" t="s">
        <v>21</v>
      </c>
      <c r="B227" s="287"/>
      <c r="C227" s="287"/>
      <c r="D227" s="16"/>
      <c r="E227" s="293" t="s">
        <v>20</v>
      </c>
      <c r="F227" s="294"/>
      <c r="G227" s="294"/>
      <c r="H227" s="295"/>
      <c r="I227" s="286" t="s">
        <v>18</v>
      </c>
      <c r="J227" s="287"/>
      <c r="K227" s="287"/>
      <c r="L227" s="288"/>
    </row>
    <row r="228" spans="1:12" ht="15.75" thickTop="1" x14ac:dyDescent="0.25"/>
  </sheetData>
  <sheetProtection autoFilter="0"/>
  <dataConsolidate/>
  <mergeCells count="817">
    <mergeCell ref="D3:I4"/>
    <mergeCell ref="D5:I5"/>
    <mergeCell ref="F6:G6"/>
    <mergeCell ref="A21:C21"/>
    <mergeCell ref="A30:C30"/>
    <mergeCell ref="H23:H24"/>
    <mergeCell ref="I23:I24"/>
    <mergeCell ref="A27:C27"/>
    <mergeCell ref="D27:D28"/>
    <mergeCell ref="E27:E28"/>
    <mergeCell ref="F27:F28"/>
    <mergeCell ref="H27:H28"/>
    <mergeCell ref="I27:I28"/>
    <mergeCell ref="H29:H30"/>
    <mergeCell ref="I29:I30"/>
    <mergeCell ref="A24:C24"/>
    <mergeCell ref="A25:C25"/>
    <mergeCell ref="D25:D26"/>
    <mergeCell ref="E25:E26"/>
    <mergeCell ref="F25:F26"/>
    <mergeCell ref="H25:H26"/>
    <mergeCell ref="A23:C23"/>
    <mergeCell ref="A33:C33"/>
    <mergeCell ref="D33:D34"/>
    <mergeCell ref="E33:E34"/>
    <mergeCell ref="F33:F34"/>
    <mergeCell ref="H33:H34"/>
    <mergeCell ref="I33:I34"/>
    <mergeCell ref="A34:C34"/>
    <mergeCell ref="D23:D24"/>
    <mergeCell ref="E23:E24"/>
    <mergeCell ref="F23:F24"/>
    <mergeCell ref="A26:C26"/>
    <mergeCell ref="A28:C28"/>
    <mergeCell ref="I25:I26"/>
    <mergeCell ref="I31:I32"/>
    <mergeCell ref="A32:C32"/>
    <mergeCell ref="A29:C29"/>
    <mergeCell ref="D29:D30"/>
    <mergeCell ref="E29:E30"/>
    <mergeCell ref="F29:F30"/>
    <mergeCell ref="A31:C31"/>
    <mergeCell ref="D31:D32"/>
    <mergeCell ref="E31:E32"/>
    <mergeCell ref="F31:F32"/>
    <mergeCell ref="H31:H32"/>
    <mergeCell ref="H35:H36"/>
    <mergeCell ref="I35:I36"/>
    <mergeCell ref="A227:C227"/>
    <mergeCell ref="E227:H227"/>
    <mergeCell ref="A36:C36"/>
    <mergeCell ref="A224:D224"/>
    <mergeCell ref="E224:H224"/>
    <mergeCell ref="A226:C226"/>
    <mergeCell ref="E226:H226"/>
    <mergeCell ref="A225:D225"/>
    <mergeCell ref="E225:H225"/>
    <mergeCell ref="A35:C35"/>
    <mergeCell ref="D35:D36"/>
    <mergeCell ref="E35:E36"/>
    <mergeCell ref="F35:F36"/>
    <mergeCell ref="H37:H38"/>
    <mergeCell ref="A38:C38"/>
    <mergeCell ref="A39:C39"/>
    <mergeCell ref="D39:D40"/>
    <mergeCell ref="E39:E40"/>
    <mergeCell ref="F39:F40"/>
    <mergeCell ref="H39:H40"/>
    <mergeCell ref="A37:C37"/>
    <mergeCell ref="D37:D38"/>
    <mergeCell ref="J35:L36"/>
    <mergeCell ref="I224:L224"/>
    <mergeCell ref="I225:L225"/>
    <mergeCell ref="I226:L226"/>
    <mergeCell ref="I227:L227"/>
    <mergeCell ref="J21:L21"/>
    <mergeCell ref="J23:L24"/>
    <mergeCell ref="J25:L26"/>
    <mergeCell ref="J27:L28"/>
    <mergeCell ref="J29:L30"/>
    <mergeCell ref="J31:L32"/>
    <mergeCell ref="J33:L34"/>
    <mergeCell ref="I37:I38"/>
    <mergeCell ref="J37:L38"/>
    <mergeCell ref="I39:I40"/>
    <mergeCell ref="J39:L40"/>
    <mergeCell ref="E37:E38"/>
    <mergeCell ref="F37:F38"/>
    <mergeCell ref="H41:H42"/>
    <mergeCell ref="I41:I42"/>
    <mergeCell ref="J41:L42"/>
    <mergeCell ref="A42:C42"/>
    <mergeCell ref="A41:C41"/>
    <mergeCell ref="D41:D42"/>
    <mergeCell ref="E41:E42"/>
    <mergeCell ref="F41:F42"/>
    <mergeCell ref="A43:C43"/>
    <mergeCell ref="D43:D44"/>
    <mergeCell ref="E43:E44"/>
    <mergeCell ref="F43:F44"/>
    <mergeCell ref="H43:H44"/>
    <mergeCell ref="I43:I44"/>
    <mergeCell ref="J43:L44"/>
    <mergeCell ref="A44:C44"/>
    <mergeCell ref="A40:C40"/>
    <mergeCell ref="H45:H46"/>
    <mergeCell ref="I45:I46"/>
    <mergeCell ref="J45:L46"/>
    <mergeCell ref="A46:C46"/>
    <mergeCell ref="A47:C47"/>
    <mergeCell ref="D47:D48"/>
    <mergeCell ref="E47:E48"/>
    <mergeCell ref="F47:F48"/>
    <mergeCell ref="H47:H48"/>
    <mergeCell ref="I47:I48"/>
    <mergeCell ref="J47:L48"/>
    <mergeCell ref="A48:C48"/>
    <mergeCell ref="A45:C45"/>
    <mergeCell ref="D45:D46"/>
    <mergeCell ref="E45:E46"/>
    <mergeCell ref="F45:F46"/>
    <mergeCell ref="H49:H50"/>
    <mergeCell ref="I49:I50"/>
    <mergeCell ref="J49:L50"/>
    <mergeCell ref="A50:C50"/>
    <mergeCell ref="A51:C51"/>
    <mergeCell ref="D51:D52"/>
    <mergeCell ref="E51:E52"/>
    <mergeCell ref="F51:F52"/>
    <mergeCell ref="H51:H52"/>
    <mergeCell ref="I51:I52"/>
    <mergeCell ref="J51:L52"/>
    <mergeCell ref="A52:C52"/>
    <mergeCell ref="A49:C49"/>
    <mergeCell ref="D49:D50"/>
    <mergeCell ref="E49:E50"/>
    <mergeCell ref="F49:F50"/>
    <mergeCell ref="H53:H54"/>
    <mergeCell ref="I53:I54"/>
    <mergeCell ref="J53:L54"/>
    <mergeCell ref="A54:C54"/>
    <mergeCell ref="A55:C55"/>
    <mergeCell ref="D55:D56"/>
    <mergeCell ref="E55:E56"/>
    <mergeCell ref="F55:F56"/>
    <mergeCell ref="H55:H56"/>
    <mergeCell ref="I55:I56"/>
    <mergeCell ref="J55:L56"/>
    <mergeCell ref="A56:C56"/>
    <mergeCell ref="A53:C53"/>
    <mergeCell ref="D53:D54"/>
    <mergeCell ref="E53:E54"/>
    <mergeCell ref="F53:F54"/>
    <mergeCell ref="H89:H90"/>
    <mergeCell ref="I89:I90"/>
    <mergeCell ref="J89:L90"/>
    <mergeCell ref="A90:C90"/>
    <mergeCell ref="A91:C91"/>
    <mergeCell ref="D91:D92"/>
    <mergeCell ref="E91:E92"/>
    <mergeCell ref="F91:F92"/>
    <mergeCell ref="H91:H92"/>
    <mergeCell ref="I91:I92"/>
    <mergeCell ref="J91:L92"/>
    <mergeCell ref="A92:C92"/>
    <mergeCell ref="A89:C89"/>
    <mergeCell ref="D89:D90"/>
    <mergeCell ref="E89:E90"/>
    <mergeCell ref="F89:F90"/>
    <mergeCell ref="H93:H94"/>
    <mergeCell ref="I93:I94"/>
    <mergeCell ref="J93:L94"/>
    <mergeCell ref="A94:C94"/>
    <mergeCell ref="A95:C95"/>
    <mergeCell ref="D95:D96"/>
    <mergeCell ref="E95:E96"/>
    <mergeCell ref="F95:F96"/>
    <mergeCell ref="H95:H96"/>
    <mergeCell ref="I95:I96"/>
    <mergeCell ref="J95:L96"/>
    <mergeCell ref="A96:C96"/>
    <mergeCell ref="A93:C93"/>
    <mergeCell ref="D93:D94"/>
    <mergeCell ref="E93:E94"/>
    <mergeCell ref="F93:F94"/>
    <mergeCell ref="H97:H98"/>
    <mergeCell ref="I97:I98"/>
    <mergeCell ref="J97:L98"/>
    <mergeCell ref="A98:C98"/>
    <mergeCell ref="A99:C99"/>
    <mergeCell ref="D99:D100"/>
    <mergeCell ref="E99:E100"/>
    <mergeCell ref="F99:F100"/>
    <mergeCell ref="H99:H100"/>
    <mergeCell ref="I99:I100"/>
    <mergeCell ref="J99:L100"/>
    <mergeCell ref="A100:C100"/>
    <mergeCell ref="A97:C97"/>
    <mergeCell ref="D97:D98"/>
    <mergeCell ref="E97:E98"/>
    <mergeCell ref="F97:F98"/>
    <mergeCell ref="H101:H102"/>
    <mergeCell ref="I101:I102"/>
    <mergeCell ref="J101:L102"/>
    <mergeCell ref="A102:C102"/>
    <mergeCell ref="A103:C103"/>
    <mergeCell ref="D103:D104"/>
    <mergeCell ref="E103:E104"/>
    <mergeCell ref="F103:F104"/>
    <mergeCell ref="H103:H104"/>
    <mergeCell ref="I103:I104"/>
    <mergeCell ref="J103:L104"/>
    <mergeCell ref="A104:C104"/>
    <mergeCell ref="A101:C101"/>
    <mergeCell ref="D101:D102"/>
    <mergeCell ref="E101:E102"/>
    <mergeCell ref="F101:F102"/>
    <mergeCell ref="H105:H106"/>
    <mergeCell ref="I105:I106"/>
    <mergeCell ref="J105:L106"/>
    <mergeCell ref="A106:C106"/>
    <mergeCell ref="A107:C107"/>
    <mergeCell ref="D107:D108"/>
    <mergeCell ref="E107:E108"/>
    <mergeCell ref="F107:F108"/>
    <mergeCell ref="H107:H108"/>
    <mergeCell ref="I107:I108"/>
    <mergeCell ref="J107:L108"/>
    <mergeCell ref="A108:C108"/>
    <mergeCell ref="A105:C105"/>
    <mergeCell ref="D105:D106"/>
    <mergeCell ref="E105:E106"/>
    <mergeCell ref="F105:F106"/>
    <mergeCell ref="H109:H110"/>
    <mergeCell ref="I109:I110"/>
    <mergeCell ref="J109:L110"/>
    <mergeCell ref="A110:C110"/>
    <mergeCell ref="A111:C111"/>
    <mergeCell ref="D111:D112"/>
    <mergeCell ref="E111:E112"/>
    <mergeCell ref="F111:F112"/>
    <mergeCell ref="H111:H112"/>
    <mergeCell ref="I111:I112"/>
    <mergeCell ref="J111:L112"/>
    <mergeCell ref="A112:C112"/>
    <mergeCell ref="A109:C109"/>
    <mergeCell ref="D109:D110"/>
    <mergeCell ref="E109:E110"/>
    <mergeCell ref="F109:F110"/>
    <mergeCell ref="H113:H114"/>
    <mergeCell ref="I113:I114"/>
    <mergeCell ref="J113:L114"/>
    <mergeCell ref="A114:C114"/>
    <mergeCell ref="A115:C115"/>
    <mergeCell ref="D115:D116"/>
    <mergeCell ref="E115:E116"/>
    <mergeCell ref="F115:F116"/>
    <mergeCell ref="H115:H116"/>
    <mergeCell ref="I115:I116"/>
    <mergeCell ref="J115:L116"/>
    <mergeCell ref="A116:C116"/>
    <mergeCell ref="A113:C113"/>
    <mergeCell ref="D113:D114"/>
    <mergeCell ref="E113:E114"/>
    <mergeCell ref="F113:F114"/>
    <mergeCell ref="H117:H118"/>
    <mergeCell ref="I117:I118"/>
    <mergeCell ref="J117:L118"/>
    <mergeCell ref="A118:C118"/>
    <mergeCell ref="A119:C119"/>
    <mergeCell ref="D119:D120"/>
    <mergeCell ref="E119:E120"/>
    <mergeCell ref="F119:F120"/>
    <mergeCell ref="H119:H120"/>
    <mergeCell ref="I119:I120"/>
    <mergeCell ref="J119:L120"/>
    <mergeCell ref="A120:C120"/>
    <mergeCell ref="A117:C117"/>
    <mergeCell ref="D117:D118"/>
    <mergeCell ref="E117:E118"/>
    <mergeCell ref="F117:F118"/>
    <mergeCell ref="H121:H122"/>
    <mergeCell ref="I121:I122"/>
    <mergeCell ref="J121:L122"/>
    <mergeCell ref="A122:C122"/>
    <mergeCell ref="A123:C123"/>
    <mergeCell ref="D123:D124"/>
    <mergeCell ref="E123:E124"/>
    <mergeCell ref="F123:F124"/>
    <mergeCell ref="H123:H124"/>
    <mergeCell ref="I123:I124"/>
    <mergeCell ref="J123:L124"/>
    <mergeCell ref="A124:C124"/>
    <mergeCell ref="A121:C121"/>
    <mergeCell ref="D121:D122"/>
    <mergeCell ref="E121:E122"/>
    <mergeCell ref="F121:F122"/>
    <mergeCell ref="H125:H126"/>
    <mergeCell ref="I125:I126"/>
    <mergeCell ref="J125:L126"/>
    <mergeCell ref="A126:C126"/>
    <mergeCell ref="A127:C127"/>
    <mergeCell ref="D127:D128"/>
    <mergeCell ref="E127:E128"/>
    <mergeCell ref="F127:F128"/>
    <mergeCell ref="H127:H128"/>
    <mergeCell ref="I127:I128"/>
    <mergeCell ref="J127:L128"/>
    <mergeCell ref="A128:C128"/>
    <mergeCell ref="A125:C125"/>
    <mergeCell ref="D125:D126"/>
    <mergeCell ref="E125:E126"/>
    <mergeCell ref="F125:F126"/>
    <mergeCell ref="H129:H130"/>
    <mergeCell ref="I129:I130"/>
    <mergeCell ref="J129:L130"/>
    <mergeCell ref="A130:C130"/>
    <mergeCell ref="A131:C131"/>
    <mergeCell ref="D131:D132"/>
    <mergeCell ref="E131:E132"/>
    <mergeCell ref="F131:F132"/>
    <mergeCell ref="H131:H132"/>
    <mergeCell ref="I131:I132"/>
    <mergeCell ref="J131:L132"/>
    <mergeCell ref="A132:C132"/>
    <mergeCell ref="A129:C129"/>
    <mergeCell ref="D129:D130"/>
    <mergeCell ref="E129:E130"/>
    <mergeCell ref="F129:F130"/>
    <mergeCell ref="H133:H134"/>
    <mergeCell ref="I133:I134"/>
    <mergeCell ref="J133:L134"/>
    <mergeCell ref="A134:C134"/>
    <mergeCell ref="A135:C135"/>
    <mergeCell ref="D135:D136"/>
    <mergeCell ref="E135:E136"/>
    <mergeCell ref="F135:F136"/>
    <mergeCell ref="H135:H136"/>
    <mergeCell ref="I135:I136"/>
    <mergeCell ref="J135:L136"/>
    <mergeCell ref="A136:C136"/>
    <mergeCell ref="A133:C133"/>
    <mergeCell ref="D133:D134"/>
    <mergeCell ref="E133:E134"/>
    <mergeCell ref="F133:F134"/>
    <mergeCell ref="H137:H138"/>
    <mergeCell ref="I137:I138"/>
    <mergeCell ref="J137:L138"/>
    <mergeCell ref="A138:C138"/>
    <mergeCell ref="A139:C139"/>
    <mergeCell ref="D139:D140"/>
    <mergeCell ref="E139:E140"/>
    <mergeCell ref="F139:F140"/>
    <mergeCell ref="H139:H140"/>
    <mergeCell ref="I139:I140"/>
    <mergeCell ref="J139:L140"/>
    <mergeCell ref="A140:C140"/>
    <mergeCell ref="A137:C137"/>
    <mergeCell ref="D137:D138"/>
    <mergeCell ref="E137:E138"/>
    <mergeCell ref="F137:F138"/>
    <mergeCell ref="H141:H142"/>
    <mergeCell ref="I141:I142"/>
    <mergeCell ref="J141:L142"/>
    <mergeCell ref="A142:C142"/>
    <mergeCell ref="A143:C143"/>
    <mergeCell ref="D143:D144"/>
    <mergeCell ref="E143:E144"/>
    <mergeCell ref="F143:F144"/>
    <mergeCell ref="H143:H144"/>
    <mergeCell ref="I143:I144"/>
    <mergeCell ref="J143:L144"/>
    <mergeCell ref="A144:C144"/>
    <mergeCell ref="A141:C141"/>
    <mergeCell ref="D141:D142"/>
    <mergeCell ref="E141:E142"/>
    <mergeCell ref="F141:F142"/>
    <mergeCell ref="H145:H146"/>
    <mergeCell ref="I145:I146"/>
    <mergeCell ref="J145:L146"/>
    <mergeCell ref="A146:C146"/>
    <mergeCell ref="A147:C147"/>
    <mergeCell ref="D147:D148"/>
    <mergeCell ref="E147:E148"/>
    <mergeCell ref="F147:F148"/>
    <mergeCell ref="H147:H148"/>
    <mergeCell ref="I147:I148"/>
    <mergeCell ref="J147:L148"/>
    <mergeCell ref="A148:C148"/>
    <mergeCell ref="A145:C145"/>
    <mergeCell ref="D145:D146"/>
    <mergeCell ref="E145:E146"/>
    <mergeCell ref="F145:F146"/>
    <mergeCell ref="H149:H150"/>
    <mergeCell ref="I149:I150"/>
    <mergeCell ref="J149:L150"/>
    <mergeCell ref="A150:C150"/>
    <mergeCell ref="A151:C151"/>
    <mergeCell ref="D151:D152"/>
    <mergeCell ref="E151:E152"/>
    <mergeCell ref="F151:F152"/>
    <mergeCell ref="H151:H152"/>
    <mergeCell ref="I151:I152"/>
    <mergeCell ref="J151:L152"/>
    <mergeCell ref="A152:C152"/>
    <mergeCell ref="A149:C149"/>
    <mergeCell ref="D149:D150"/>
    <mergeCell ref="E149:E150"/>
    <mergeCell ref="F149:F150"/>
    <mergeCell ref="H153:H154"/>
    <mergeCell ref="I153:I154"/>
    <mergeCell ref="J153:L154"/>
    <mergeCell ref="A154:C154"/>
    <mergeCell ref="A155:C155"/>
    <mergeCell ref="D155:D156"/>
    <mergeCell ref="E155:E156"/>
    <mergeCell ref="F155:F156"/>
    <mergeCell ref="H155:H156"/>
    <mergeCell ref="I155:I156"/>
    <mergeCell ref="J155:L156"/>
    <mergeCell ref="A156:C156"/>
    <mergeCell ref="A153:C153"/>
    <mergeCell ref="D153:D154"/>
    <mergeCell ref="E153:E154"/>
    <mergeCell ref="F153:F154"/>
    <mergeCell ref="H157:H158"/>
    <mergeCell ref="I157:I158"/>
    <mergeCell ref="J157:L158"/>
    <mergeCell ref="A158:C158"/>
    <mergeCell ref="A159:C159"/>
    <mergeCell ref="D159:D160"/>
    <mergeCell ref="E159:E160"/>
    <mergeCell ref="F159:F160"/>
    <mergeCell ref="H159:H160"/>
    <mergeCell ref="I159:I160"/>
    <mergeCell ref="J159:L160"/>
    <mergeCell ref="A160:C160"/>
    <mergeCell ref="A157:C157"/>
    <mergeCell ref="D157:D158"/>
    <mergeCell ref="E157:E158"/>
    <mergeCell ref="F157:F158"/>
    <mergeCell ref="H161:H162"/>
    <mergeCell ref="I161:I162"/>
    <mergeCell ref="J161:L162"/>
    <mergeCell ref="A162:C162"/>
    <mergeCell ref="A163:C163"/>
    <mergeCell ref="D163:D164"/>
    <mergeCell ref="E163:E164"/>
    <mergeCell ref="F163:F164"/>
    <mergeCell ref="H163:H164"/>
    <mergeCell ref="I163:I164"/>
    <mergeCell ref="J163:L164"/>
    <mergeCell ref="A164:C164"/>
    <mergeCell ref="A161:C161"/>
    <mergeCell ref="D161:D162"/>
    <mergeCell ref="E161:E162"/>
    <mergeCell ref="F161:F162"/>
    <mergeCell ref="H165:H166"/>
    <mergeCell ref="I165:I166"/>
    <mergeCell ref="J165:L166"/>
    <mergeCell ref="A166:C166"/>
    <mergeCell ref="A167:C167"/>
    <mergeCell ref="D167:D168"/>
    <mergeCell ref="E167:E168"/>
    <mergeCell ref="F167:F168"/>
    <mergeCell ref="H167:H168"/>
    <mergeCell ref="I167:I168"/>
    <mergeCell ref="J167:L168"/>
    <mergeCell ref="A168:C168"/>
    <mergeCell ref="A165:C165"/>
    <mergeCell ref="D165:D166"/>
    <mergeCell ref="E165:E166"/>
    <mergeCell ref="F165:F166"/>
    <mergeCell ref="H169:H170"/>
    <mergeCell ref="I169:I170"/>
    <mergeCell ref="J169:L170"/>
    <mergeCell ref="A170:C170"/>
    <mergeCell ref="A171:C171"/>
    <mergeCell ref="D171:D172"/>
    <mergeCell ref="E171:E172"/>
    <mergeCell ref="F171:F172"/>
    <mergeCell ref="H171:H172"/>
    <mergeCell ref="I171:I172"/>
    <mergeCell ref="J171:L172"/>
    <mergeCell ref="A172:C172"/>
    <mergeCell ref="A169:C169"/>
    <mergeCell ref="D169:D170"/>
    <mergeCell ref="E169:E170"/>
    <mergeCell ref="F169:F170"/>
    <mergeCell ref="H173:H174"/>
    <mergeCell ref="I173:I174"/>
    <mergeCell ref="J173:L174"/>
    <mergeCell ref="A174:C174"/>
    <mergeCell ref="A175:C175"/>
    <mergeCell ref="D175:D176"/>
    <mergeCell ref="E175:E176"/>
    <mergeCell ref="F175:F176"/>
    <mergeCell ref="H175:H176"/>
    <mergeCell ref="I175:I176"/>
    <mergeCell ref="J175:L176"/>
    <mergeCell ref="A176:C176"/>
    <mergeCell ref="A173:C173"/>
    <mergeCell ref="D173:D174"/>
    <mergeCell ref="E173:E174"/>
    <mergeCell ref="F173:F174"/>
    <mergeCell ref="H177:H178"/>
    <mergeCell ref="I177:I178"/>
    <mergeCell ref="J177:L178"/>
    <mergeCell ref="A178:C178"/>
    <mergeCell ref="A179:C179"/>
    <mergeCell ref="D179:D180"/>
    <mergeCell ref="E179:E180"/>
    <mergeCell ref="F179:F180"/>
    <mergeCell ref="H179:H180"/>
    <mergeCell ref="I179:I180"/>
    <mergeCell ref="J179:L180"/>
    <mergeCell ref="A180:C180"/>
    <mergeCell ref="A177:C177"/>
    <mergeCell ref="D177:D178"/>
    <mergeCell ref="E177:E178"/>
    <mergeCell ref="F177:F178"/>
    <mergeCell ref="H181:H182"/>
    <mergeCell ref="I181:I182"/>
    <mergeCell ref="J181:L182"/>
    <mergeCell ref="A182:C182"/>
    <mergeCell ref="A183:C183"/>
    <mergeCell ref="D183:D184"/>
    <mergeCell ref="E183:E184"/>
    <mergeCell ref="F183:F184"/>
    <mergeCell ref="H183:H184"/>
    <mergeCell ref="I183:I184"/>
    <mergeCell ref="J183:L184"/>
    <mergeCell ref="A184:C184"/>
    <mergeCell ref="A181:C181"/>
    <mergeCell ref="D181:D182"/>
    <mergeCell ref="E181:E182"/>
    <mergeCell ref="F181:F182"/>
    <mergeCell ref="H185:H186"/>
    <mergeCell ref="I185:I186"/>
    <mergeCell ref="J185:L186"/>
    <mergeCell ref="A186:C186"/>
    <mergeCell ref="A187:C187"/>
    <mergeCell ref="D187:D188"/>
    <mergeCell ref="E187:E188"/>
    <mergeCell ref="F187:F188"/>
    <mergeCell ref="H187:H188"/>
    <mergeCell ref="I187:I188"/>
    <mergeCell ref="J187:L188"/>
    <mergeCell ref="A188:C188"/>
    <mergeCell ref="A185:C185"/>
    <mergeCell ref="D185:D186"/>
    <mergeCell ref="E185:E186"/>
    <mergeCell ref="F185:F186"/>
    <mergeCell ref="H189:H190"/>
    <mergeCell ref="I189:I190"/>
    <mergeCell ref="J189:L190"/>
    <mergeCell ref="A190:C190"/>
    <mergeCell ref="A191:C191"/>
    <mergeCell ref="D191:D192"/>
    <mergeCell ref="E191:E192"/>
    <mergeCell ref="F191:F192"/>
    <mergeCell ref="H191:H192"/>
    <mergeCell ref="I191:I192"/>
    <mergeCell ref="J191:L192"/>
    <mergeCell ref="A192:C192"/>
    <mergeCell ref="A189:C189"/>
    <mergeCell ref="D189:D190"/>
    <mergeCell ref="E189:E190"/>
    <mergeCell ref="F189:F190"/>
    <mergeCell ref="H193:H194"/>
    <mergeCell ref="I193:I194"/>
    <mergeCell ref="J193:L194"/>
    <mergeCell ref="A194:C194"/>
    <mergeCell ref="A195:C195"/>
    <mergeCell ref="D195:D196"/>
    <mergeCell ref="E195:E196"/>
    <mergeCell ref="F195:F196"/>
    <mergeCell ref="H195:H196"/>
    <mergeCell ref="I195:I196"/>
    <mergeCell ref="J195:L196"/>
    <mergeCell ref="A196:C196"/>
    <mergeCell ref="A193:C193"/>
    <mergeCell ref="D193:D194"/>
    <mergeCell ref="E193:E194"/>
    <mergeCell ref="F193:F194"/>
    <mergeCell ref="H197:H198"/>
    <mergeCell ref="I197:I198"/>
    <mergeCell ref="J197:L198"/>
    <mergeCell ref="A198:C198"/>
    <mergeCell ref="A199:C199"/>
    <mergeCell ref="D199:D200"/>
    <mergeCell ref="E199:E200"/>
    <mergeCell ref="F199:F200"/>
    <mergeCell ref="H199:H200"/>
    <mergeCell ref="I199:I200"/>
    <mergeCell ref="J199:L200"/>
    <mergeCell ref="A200:C200"/>
    <mergeCell ref="A197:C197"/>
    <mergeCell ref="D197:D198"/>
    <mergeCell ref="E197:E198"/>
    <mergeCell ref="F197:F198"/>
    <mergeCell ref="H201:H202"/>
    <mergeCell ref="I201:I202"/>
    <mergeCell ref="J201:L202"/>
    <mergeCell ref="A202:C202"/>
    <mergeCell ref="A203:C203"/>
    <mergeCell ref="D203:D204"/>
    <mergeCell ref="E203:E204"/>
    <mergeCell ref="F203:F204"/>
    <mergeCell ref="H203:H204"/>
    <mergeCell ref="I203:I204"/>
    <mergeCell ref="J203:L204"/>
    <mergeCell ref="A204:C204"/>
    <mergeCell ref="A201:C201"/>
    <mergeCell ref="D201:D202"/>
    <mergeCell ref="E201:E202"/>
    <mergeCell ref="F201:F202"/>
    <mergeCell ref="H205:H206"/>
    <mergeCell ref="I205:I206"/>
    <mergeCell ref="J205:L206"/>
    <mergeCell ref="A206:C206"/>
    <mergeCell ref="A207:C207"/>
    <mergeCell ref="D207:D208"/>
    <mergeCell ref="E207:E208"/>
    <mergeCell ref="F207:F208"/>
    <mergeCell ref="H207:H208"/>
    <mergeCell ref="I207:I208"/>
    <mergeCell ref="J207:L208"/>
    <mergeCell ref="A208:C208"/>
    <mergeCell ref="A205:C205"/>
    <mergeCell ref="D205:D206"/>
    <mergeCell ref="E205:E206"/>
    <mergeCell ref="F205:F206"/>
    <mergeCell ref="H209:H210"/>
    <mergeCell ref="I209:I210"/>
    <mergeCell ref="J209:L210"/>
    <mergeCell ref="A210:C210"/>
    <mergeCell ref="A211:C211"/>
    <mergeCell ref="D211:D212"/>
    <mergeCell ref="E211:E212"/>
    <mergeCell ref="F211:F212"/>
    <mergeCell ref="H211:H212"/>
    <mergeCell ref="I211:I212"/>
    <mergeCell ref="J211:L212"/>
    <mergeCell ref="A212:C212"/>
    <mergeCell ref="A209:C209"/>
    <mergeCell ref="D209:D210"/>
    <mergeCell ref="E209:E210"/>
    <mergeCell ref="F209:F210"/>
    <mergeCell ref="H213:H214"/>
    <mergeCell ref="I213:I214"/>
    <mergeCell ref="J213:L214"/>
    <mergeCell ref="A214:C214"/>
    <mergeCell ref="A215:C215"/>
    <mergeCell ref="D215:D216"/>
    <mergeCell ref="E215:E216"/>
    <mergeCell ref="F215:F216"/>
    <mergeCell ref="H215:H216"/>
    <mergeCell ref="I215:I216"/>
    <mergeCell ref="J215:L216"/>
    <mergeCell ref="A216:C216"/>
    <mergeCell ref="A213:C213"/>
    <mergeCell ref="D213:D214"/>
    <mergeCell ref="E213:E214"/>
    <mergeCell ref="F213:F214"/>
    <mergeCell ref="E219:E220"/>
    <mergeCell ref="F219:F220"/>
    <mergeCell ref="H219:H220"/>
    <mergeCell ref="I219:I220"/>
    <mergeCell ref="J219:L220"/>
    <mergeCell ref="A220:C220"/>
    <mergeCell ref="A217:C217"/>
    <mergeCell ref="D217:D218"/>
    <mergeCell ref="E217:E218"/>
    <mergeCell ref="F217:F218"/>
    <mergeCell ref="A218:C218"/>
    <mergeCell ref="H221:H222"/>
    <mergeCell ref="I221:I222"/>
    <mergeCell ref="J221:L222"/>
    <mergeCell ref="A222:C222"/>
    <mergeCell ref="A57:C57"/>
    <mergeCell ref="D57:D58"/>
    <mergeCell ref="E57:E58"/>
    <mergeCell ref="F57:F58"/>
    <mergeCell ref="H57:H58"/>
    <mergeCell ref="I57:I58"/>
    <mergeCell ref="J57:L58"/>
    <mergeCell ref="A58:C58"/>
    <mergeCell ref="A59:C59"/>
    <mergeCell ref="D59:D60"/>
    <mergeCell ref="E59:E60"/>
    <mergeCell ref="A221:C221"/>
    <mergeCell ref="D221:D222"/>
    <mergeCell ref="E221:E222"/>
    <mergeCell ref="F221:F222"/>
    <mergeCell ref="H217:H218"/>
    <mergeCell ref="I217:I218"/>
    <mergeCell ref="J217:L218"/>
    <mergeCell ref="A219:C219"/>
    <mergeCell ref="D219:D220"/>
    <mergeCell ref="H61:H62"/>
    <mergeCell ref="I61:I62"/>
    <mergeCell ref="J61:L62"/>
    <mergeCell ref="A62:C62"/>
    <mergeCell ref="A60:C60"/>
    <mergeCell ref="A61:C61"/>
    <mergeCell ref="D61:D62"/>
    <mergeCell ref="E61:E62"/>
    <mergeCell ref="F61:F62"/>
    <mergeCell ref="F59:F60"/>
    <mergeCell ref="H59:H60"/>
    <mergeCell ref="I59:I60"/>
    <mergeCell ref="J59:L60"/>
    <mergeCell ref="H63:H64"/>
    <mergeCell ref="I63:I64"/>
    <mergeCell ref="J63:L64"/>
    <mergeCell ref="A64:C64"/>
    <mergeCell ref="A65:C65"/>
    <mergeCell ref="D65:D66"/>
    <mergeCell ref="E65:E66"/>
    <mergeCell ref="F65:F66"/>
    <mergeCell ref="H65:H66"/>
    <mergeCell ref="I65:I66"/>
    <mergeCell ref="J65:L66"/>
    <mergeCell ref="A66:C66"/>
    <mergeCell ref="A63:C63"/>
    <mergeCell ref="D63:D64"/>
    <mergeCell ref="E63:E64"/>
    <mergeCell ref="F63:F64"/>
    <mergeCell ref="H67:H68"/>
    <mergeCell ref="I67:I68"/>
    <mergeCell ref="J67:L68"/>
    <mergeCell ref="A68:C68"/>
    <mergeCell ref="A69:C69"/>
    <mergeCell ref="D69:D70"/>
    <mergeCell ref="E69:E70"/>
    <mergeCell ref="F69:F70"/>
    <mergeCell ref="H69:H70"/>
    <mergeCell ref="I69:I70"/>
    <mergeCell ref="J69:L70"/>
    <mergeCell ref="A70:C70"/>
    <mergeCell ref="A67:C67"/>
    <mergeCell ref="D67:D68"/>
    <mergeCell ref="E67:E68"/>
    <mergeCell ref="F67:F68"/>
    <mergeCell ref="H71:H72"/>
    <mergeCell ref="I71:I72"/>
    <mergeCell ref="J71:L72"/>
    <mergeCell ref="A72:C72"/>
    <mergeCell ref="A73:C73"/>
    <mergeCell ref="D73:D74"/>
    <mergeCell ref="E73:E74"/>
    <mergeCell ref="F73:F74"/>
    <mergeCell ref="H73:H74"/>
    <mergeCell ref="I73:I74"/>
    <mergeCell ref="J73:L74"/>
    <mergeCell ref="A74:C74"/>
    <mergeCell ref="A71:C71"/>
    <mergeCell ref="D71:D72"/>
    <mergeCell ref="E71:E72"/>
    <mergeCell ref="F71:F72"/>
    <mergeCell ref="H75:H76"/>
    <mergeCell ref="I75:I76"/>
    <mergeCell ref="J75:L76"/>
    <mergeCell ref="A76:C76"/>
    <mergeCell ref="A77:C77"/>
    <mergeCell ref="D77:D78"/>
    <mergeCell ref="E77:E78"/>
    <mergeCell ref="F77:F78"/>
    <mergeCell ref="H77:H78"/>
    <mergeCell ref="I77:I78"/>
    <mergeCell ref="J77:L78"/>
    <mergeCell ref="A78:C78"/>
    <mergeCell ref="A75:C75"/>
    <mergeCell ref="D75:D76"/>
    <mergeCell ref="E75:E76"/>
    <mergeCell ref="F75:F76"/>
    <mergeCell ref="H79:H80"/>
    <mergeCell ref="I79:I80"/>
    <mergeCell ref="J79:L80"/>
    <mergeCell ref="A80:C80"/>
    <mergeCell ref="A81:C81"/>
    <mergeCell ref="D81:D82"/>
    <mergeCell ref="E81:E82"/>
    <mergeCell ref="F81:F82"/>
    <mergeCell ref="H81:H82"/>
    <mergeCell ref="I81:I82"/>
    <mergeCell ref="J81:L82"/>
    <mergeCell ref="A82:C82"/>
    <mergeCell ref="A79:C79"/>
    <mergeCell ref="D79:D80"/>
    <mergeCell ref="E79:E80"/>
    <mergeCell ref="F79:F80"/>
    <mergeCell ref="H87:H88"/>
    <mergeCell ref="I87:I88"/>
    <mergeCell ref="J87:L88"/>
    <mergeCell ref="A88:C88"/>
    <mergeCell ref="A87:C87"/>
    <mergeCell ref="D87:D88"/>
    <mergeCell ref="E87:E88"/>
    <mergeCell ref="F87:F88"/>
    <mergeCell ref="H83:H84"/>
    <mergeCell ref="I83:I84"/>
    <mergeCell ref="J83:L84"/>
    <mergeCell ref="A84:C84"/>
    <mergeCell ref="A85:C85"/>
    <mergeCell ref="D85:D86"/>
    <mergeCell ref="E85:E86"/>
    <mergeCell ref="F85:F86"/>
    <mergeCell ref="H85:H86"/>
    <mergeCell ref="I85:I86"/>
    <mergeCell ref="J85:L86"/>
    <mergeCell ref="A86:C86"/>
    <mergeCell ref="A83:C83"/>
    <mergeCell ref="D83:D84"/>
    <mergeCell ref="E83:E84"/>
    <mergeCell ref="F83:F84"/>
  </mergeCells>
  <printOptions horizontalCentered="1"/>
  <pageMargins left="0.5" right="0.5" top="0.5" bottom="0.5" header="0.2" footer="0.2"/>
  <pageSetup paperSize="9" scale="28" fitToHeight="0" orientation="portrait" horizontalDpi="300" verticalDpi="300" r:id="rId1"/>
  <headerFooter>
    <oddFooter>&amp;R&amp;16&amp;P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1"/>
  <sheetViews>
    <sheetView workbookViewId="0">
      <selection activeCell="B10" sqref="B10"/>
    </sheetView>
  </sheetViews>
  <sheetFormatPr defaultRowHeight="15" x14ac:dyDescent="0.25"/>
  <cols>
    <col min="1" max="1" width="12.28515625" customWidth="1"/>
    <col min="2" max="9" width="29.42578125" customWidth="1"/>
  </cols>
  <sheetData>
    <row r="1" spans="1:10" x14ac:dyDescent="0.25">
      <c r="A1" t="s">
        <v>12</v>
      </c>
      <c r="B1" t="s">
        <v>119</v>
      </c>
      <c r="C1" t="s">
        <v>120</v>
      </c>
      <c r="D1" t="s">
        <v>13</v>
      </c>
      <c r="E1" t="s">
        <v>10</v>
      </c>
      <c r="F1" t="s">
        <v>11</v>
      </c>
      <c r="G1" t="s">
        <v>121</v>
      </c>
      <c r="H1" t="s">
        <v>122</v>
      </c>
      <c r="I1" t="s">
        <v>14</v>
      </c>
    </row>
    <row r="2" spans="1:10" ht="30" x14ac:dyDescent="0.25">
      <c r="A2" t="s">
        <v>7</v>
      </c>
      <c r="B2" s="23" t="s">
        <v>340</v>
      </c>
      <c r="C2" s="23" t="s">
        <v>341</v>
      </c>
      <c r="D2" s="64" t="s">
        <v>342</v>
      </c>
      <c r="E2" s="23" t="s">
        <v>45</v>
      </c>
      <c r="F2" s="23" t="s">
        <v>161</v>
      </c>
      <c r="G2" s="23" t="s">
        <v>161</v>
      </c>
      <c r="H2" s="23" t="s">
        <v>161</v>
      </c>
      <c r="I2" t="s">
        <v>6</v>
      </c>
      <c r="J2" t="str">
        <f ca="1">OFFSET(data!$A$2:$A$10,0,0,COUNT(data!$A:$A)-1,1)</f>
        <v>CRA</v>
      </c>
    </row>
    <row r="3" spans="1:10" ht="30" x14ac:dyDescent="0.25">
      <c r="A3" t="s">
        <v>8</v>
      </c>
      <c r="B3" s="23" t="s">
        <v>340</v>
      </c>
      <c r="C3" s="23" t="s">
        <v>341</v>
      </c>
      <c r="D3" s="64" t="s">
        <v>342</v>
      </c>
      <c r="E3" s="23" t="s">
        <v>45</v>
      </c>
      <c r="F3" s="23" t="s">
        <v>161</v>
      </c>
      <c r="G3" s="23" t="s">
        <v>161</v>
      </c>
      <c r="H3" s="23" t="s">
        <v>161</v>
      </c>
      <c r="I3" t="s">
        <v>223</v>
      </c>
    </row>
    <row r="4" spans="1:10" ht="30" x14ac:dyDescent="0.25">
      <c r="A4" t="s">
        <v>9</v>
      </c>
      <c r="B4" s="23" t="s">
        <v>340</v>
      </c>
      <c r="C4" s="23" t="s">
        <v>341</v>
      </c>
      <c r="D4" s="64" t="s">
        <v>342</v>
      </c>
      <c r="E4" s="23" t="s">
        <v>45</v>
      </c>
      <c r="F4" s="23" t="s">
        <v>161</v>
      </c>
      <c r="G4" s="23" t="s">
        <v>161</v>
      </c>
      <c r="H4" s="23" t="s">
        <v>161</v>
      </c>
      <c r="I4" t="s">
        <v>224</v>
      </c>
    </row>
    <row r="5" spans="1:10" ht="30" x14ac:dyDescent="0.25">
      <c r="A5" t="s">
        <v>32</v>
      </c>
      <c r="B5" s="23" t="s">
        <v>340</v>
      </c>
      <c r="C5" s="23" t="s">
        <v>341</v>
      </c>
      <c r="D5" s="64" t="s">
        <v>342</v>
      </c>
      <c r="E5" s="23" t="s">
        <v>45</v>
      </c>
      <c r="F5" s="23" t="s">
        <v>161</v>
      </c>
      <c r="G5" s="23" t="s">
        <v>161</v>
      </c>
      <c r="H5" s="23" t="s">
        <v>161</v>
      </c>
    </row>
    <row r="6" spans="1:10" ht="30" x14ac:dyDescent="0.25">
      <c r="A6" t="s">
        <v>33</v>
      </c>
      <c r="B6" s="23" t="s">
        <v>340</v>
      </c>
      <c r="C6" s="23" t="s">
        <v>341</v>
      </c>
      <c r="D6" s="64" t="s">
        <v>342</v>
      </c>
      <c r="E6" s="23" t="s">
        <v>45</v>
      </c>
      <c r="F6" s="23" t="s">
        <v>161</v>
      </c>
      <c r="G6" s="23" t="s">
        <v>161</v>
      </c>
      <c r="H6" s="23" t="s">
        <v>161</v>
      </c>
    </row>
    <row r="7" spans="1:10" ht="30" x14ac:dyDescent="0.25">
      <c r="A7" t="s">
        <v>35</v>
      </c>
      <c r="B7" s="23" t="s">
        <v>340</v>
      </c>
      <c r="C7" s="23" t="s">
        <v>341</v>
      </c>
      <c r="D7" s="64" t="s">
        <v>342</v>
      </c>
      <c r="E7" s="23" t="s">
        <v>45</v>
      </c>
      <c r="F7" s="23" t="s">
        <v>161</v>
      </c>
      <c r="G7" s="23" t="s">
        <v>161</v>
      </c>
      <c r="H7" s="23" t="s">
        <v>161</v>
      </c>
    </row>
    <row r="8" spans="1:10" ht="30" x14ac:dyDescent="0.25">
      <c r="A8" t="s">
        <v>36</v>
      </c>
      <c r="B8" s="23" t="s">
        <v>340</v>
      </c>
      <c r="C8" s="23" t="s">
        <v>341</v>
      </c>
      <c r="D8" s="64" t="s">
        <v>342</v>
      </c>
      <c r="E8" s="23" t="s">
        <v>45</v>
      </c>
      <c r="F8" s="23" t="s">
        <v>161</v>
      </c>
      <c r="G8" s="23" t="s">
        <v>161</v>
      </c>
      <c r="H8" s="23" t="s">
        <v>161</v>
      </c>
    </row>
    <row r="9" spans="1:10" ht="30" x14ac:dyDescent="0.25">
      <c r="A9" t="s">
        <v>37</v>
      </c>
      <c r="B9" s="23" t="s">
        <v>340</v>
      </c>
      <c r="C9" s="23" t="s">
        <v>341</v>
      </c>
      <c r="D9" s="64" t="s">
        <v>342</v>
      </c>
      <c r="E9" s="23" t="s">
        <v>45</v>
      </c>
      <c r="F9" s="23" t="s">
        <v>161</v>
      </c>
      <c r="G9" s="23" t="s">
        <v>161</v>
      </c>
      <c r="H9" s="23" t="s">
        <v>161</v>
      </c>
    </row>
    <row r="10" spans="1:10" ht="30" x14ac:dyDescent="0.25">
      <c r="A10" t="s">
        <v>34</v>
      </c>
      <c r="B10" s="23" t="s">
        <v>340</v>
      </c>
      <c r="C10" s="23" t="s">
        <v>341</v>
      </c>
      <c r="D10" s="64" t="s">
        <v>342</v>
      </c>
      <c r="E10" s="23" t="s">
        <v>45</v>
      </c>
      <c r="F10" s="23" t="s">
        <v>161</v>
      </c>
      <c r="G10" s="23" t="s">
        <v>161</v>
      </c>
      <c r="H10" s="23" t="s">
        <v>161</v>
      </c>
    </row>
    <row r="12" spans="1:10" x14ac:dyDescent="0.25">
      <c r="B12" s="58"/>
      <c r="C12" s="58"/>
    </row>
    <row r="13" spans="1:10" x14ac:dyDescent="0.25">
      <c r="B13" s="23"/>
      <c r="C13" s="23"/>
      <c r="D13" s="76"/>
    </row>
    <row r="14" spans="1:10" x14ac:dyDescent="0.25">
      <c r="B14" s="23"/>
      <c r="C14" s="23"/>
    </row>
    <row r="15" spans="1:10" x14ac:dyDescent="0.25">
      <c r="B15" s="23"/>
      <c r="C15" s="23"/>
    </row>
    <row r="16" spans="1:10" x14ac:dyDescent="0.25">
      <c r="B16" s="23"/>
      <c r="C16" s="23"/>
    </row>
    <row r="17" spans="2:3" x14ac:dyDescent="0.25">
      <c r="B17" s="76"/>
      <c r="C17" s="76"/>
    </row>
    <row r="21" spans="2:3" x14ac:dyDescent="0.25">
      <c r="B21" s="76"/>
      <c r="C21" s="76"/>
    </row>
  </sheetData>
  <sheetProtection autoFilter="0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5810-5E39-4D3F-BACD-80EA1DCF8D48}">
  <sheetPr codeName="Sheet6">
    <pageSetUpPr fitToPage="1"/>
  </sheetPr>
  <dimension ref="A1:AL54"/>
  <sheetViews>
    <sheetView view="pageBreakPreview" topLeftCell="A13" zoomScale="55" zoomScaleNormal="145" zoomScaleSheetLayoutView="55" workbookViewId="0">
      <selection activeCell="T49" sqref="B32:V49"/>
    </sheetView>
  </sheetViews>
  <sheetFormatPr defaultColWidth="5.42578125" defaultRowHeight="24" customHeight="1" x14ac:dyDescent="0.2"/>
  <cols>
    <col min="1" max="1" width="2.7109375" style="123" customWidth="1"/>
    <col min="2" max="13" width="5.5703125" style="123" customWidth="1"/>
    <col min="14" max="15" width="5.42578125" style="123" customWidth="1"/>
    <col min="16" max="21" width="5.5703125" style="123" customWidth="1"/>
    <col min="22" max="22" width="15" style="123" customWidth="1"/>
    <col min="23" max="23" width="2.140625" style="123" customWidth="1"/>
    <col min="24" max="16384" width="5.42578125" style="123"/>
  </cols>
  <sheetData>
    <row r="1" spans="1:38" ht="12" customHeight="1" x14ac:dyDescent="0.2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7"/>
    </row>
    <row r="2" spans="1:38" ht="21" customHeight="1" x14ac:dyDescent="0.2">
      <c r="A2" s="128"/>
      <c r="B2" s="341" t="s">
        <v>371</v>
      </c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3"/>
      <c r="W2" s="127"/>
      <c r="Z2" s="123" t="s">
        <v>198</v>
      </c>
    </row>
    <row r="3" spans="1:38" ht="21" customHeight="1" x14ac:dyDescent="0.2">
      <c r="A3" s="128"/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6"/>
      <c r="W3" s="127"/>
      <c r="Z3" s="123" t="s">
        <v>197</v>
      </c>
    </row>
    <row r="4" spans="1:38" ht="21" customHeight="1" x14ac:dyDescent="0.2">
      <c r="A4" s="128"/>
      <c r="B4" s="344"/>
      <c r="C4" s="345"/>
      <c r="D4" s="345"/>
      <c r="E4" s="345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45"/>
      <c r="T4" s="345"/>
      <c r="U4" s="345"/>
      <c r="V4" s="346"/>
      <c r="W4" s="127"/>
      <c r="Y4" s="123" t="s">
        <v>6</v>
      </c>
      <c r="Z4" s="123" t="s">
        <v>213</v>
      </c>
    </row>
    <row r="5" spans="1:38" ht="21" customHeight="1" x14ac:dyDescent="0.2">
      <c r="A5" s="128"/>
      <c r="B5" s="344"/>
      <c r="C5" s="345"/>
      <c r="D5" s="345"/>
      <c r="E5" s="345"/>
      <c r="F5" s="345"/>
      <c r="G5" s="345"/>
      <c r="H5" s="345"/>
      <c r="I5" s="345"/>
      <c r="J5" s="345"/>
      <c r="K5" s="345"/>
      <c r="L5" s="345"/>
      <c r="M5" s="345"/>
      <c r="N5" s="345"/>
      <c r="O5" s="345"/>
      <c r="P5" s="345"/>
      <c r="Q5" s="345"/>
      <c r="R5" s="345"/>
      <c r="S5" s="345"/>
      <c r="T5" s="345"/>
      <c r="U5" s="345"/>
      <c r="V5" s="346"/>
      <c r="W5" s="127"/>
      <c r="Y5" s="123" t="s">
        <v>218</v>
      </c>
      <c r="Z5" s="123" t="s">
        <v>212</v>
      </c>
    </row>
    <row r="6" spans="1:38" ht="21" customHeight="1" x14ac:dyDescent="0.2">
      <c r="A6" s="128"/>
      <c r="B6" s="344"/>
      <c r="C6" s="345"/>
      <c r="D6" s="345"/>
      <c r="E6" s="345"/>
      <c r="F6" s="345"/>
      <c r="G6" s="345"/>
      <c r="H6" s="345"/>
      <c r="I6" s="345"/>
      <c r="J6" s="345"/>
      <c r="K6" s="345"/>
      <c r="L6" s="345"/>
      <c r="M6" s="345"/>
      <c r="N6" s="345"/>
      <c r="O6" s="345"/>
      <c r="P6" s="345"/>
      <c r="Q6" s="345"/>
      <c r="R6" s="345"/>
      <c r="S6" s="345"/>
      <c r="T6" s="345"/>
      <c r="U6" s="345"/>
      <c r="V6" s="346"/>
      <c r="W6" s="127"/>
      <c r="Y6" s="123" t="s">
        <v>217</v>
      </c>
      <c r="Z6" s="123" t="s">
        <v>211</v>
      </c>
    </row>
    <row r="7" spans="1:38" ht="21.75" customHeight="1" x14ac:dyDescent="0.2">
      <c r="A7" s="128"/>
      <c r="B7" s="347" t="s">
        <v>340</v>
      </c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9"/>
      <c r="W7" s="127"/>
      <c r="Y7" s="123" t="s">
        <v>216</v>
      </c>
      <c r="Z7" s="123" t="s">
        <v>214</v>
      </c>
      <c r="AF7" s="146"/>
    </row>
    <row r="8" spans="1:38" ht="21.75" customHeight="1" x14ac:dyDescent="0.2">
      <c r="A8" s="128"/>
      <c r="B8" s="347"/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9"/>
      <c r="W8" s="127"/>
      <c r="AL8" s="76"/>
    </row>
    <row r="9" spans="1:38" ht="21.75" customHeight="1" x14ac:dyDescent="0.2">
      <c r="A9" s="128"/>
      <c r="B9" s="347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9"/>
      <c r="W9" s="127"/>
    </row>
    <row r="10" spans="1:38" ht="21.75" customHeight="1" x14ac:dyDescent="0.2">
      <c r="A10" s="128"/>
      <c r="B10" s="350" t="s">
        <v>341</v>
      </c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51"/>
      <c r="O10" s="351"/>
      <c r="P10" s="351"/>
      <c r="Q10" s="351"/>
      <c r="R10" s="351"/>
      <c r="S10" s="351"/>
      <c r="T10" s="351"/>
      <c r="U10" s="351"/>
      <c r="V10" s="352"/>
      <c r="W10" s="127"/>
    </row>
    <row r="11" spans="1:38" ht="21.75" customHeight="1" x14ac:dyDescent="0.2">
      <c r="A11" s="128"/>
      <c r="B11" s="350"/>
      <c r="C11" s="351"/>
      <c r="D11" s="351"/>
      <c r="E11" s="351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1"/>
      <c r="Q11" s="351"/>
      <c r="R11" s="351"/>
      <c r="S11" s="351"/>
      <c r="T11" s="351"/>
      <c r="U11" s="351"/>
      <c r="V11" s="352"/>
      <c r="W11" s="127"/>
    </row>
    <row r="12" spans="1:38" ht="21.75" customHeight="1" x14ac:dyDescent="0.2">
      <c r="A12" s="128"/>
      <c r="B12" s="353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M12" s="354"/>
      <c r="N12" s="354"/>
      <c r="O12" s="354"/>
      <c r="P12" s="354"/>
      <c r="Q12" s="354"/>
      <c r="R12" s="354"/>
      <c r="S12" s="354"/>
      <c r="T12" s="354"/>
      <c r="U12" s="354"/>
      <c r="V12" s="355"/>
      <c r="W12" s="127"/>
    </row>
    <row r="13" spans="1:38" ht="10.5" customHeight="1" x14ac:dyDescent="0.2">
      <c r="A13" s="128"/>
      <c r="W13" s="127"/>
    </row>
    <row r="14" spans="1:38" s="135" customFormat="1" ht="19.5" customHeight="1" x14ac:dyDescent="0.3">
      <c r="A14" s="137"/>
      <c r="P14" s="362" t="s">
        <v>195</v>
      </c>
      <c r="Q14" s="363"/>
      <c r="R14" s="363"/>
      <c r="S14" s="363"/>
      <c r="T14" s="363"/>
      <c r="U14" s="363"/>
      <c r="V14" s="364"/>
      <c r="W14" s="136"/>
    </row>
    <row r="15" spans="1:38" s="135" customFormat="1" ht="21.75" x14ac:dyDescent="0.3">
      <c r="A15" s="137"/>
      <c r="P15" s="365" t="s">
        <v>196</v>
      </c>
      <c r="Q15" s="323"/>
      <c r="R15" s="323"/>
      <c r="S15" s="323"/>
      <c r="T15" s="323"/>
      <c r="U15" s="323"/>
      <c r="V15" s="324"/>
      <c r="W15" s="136"/>
    </row>
    <row r="16" spans="1:38" ht="33" customHeight="1" x14ac:dyDescent="0.2">
      <c r="A16" s="128"/>
      <c r="P16" s="366"/>
      <c r="Q16" s="367"/>
      <c r="R16" s="367"/>
      <c r="S16" s="367"/>
      <c r="T16" s="367"/>
      <c r="U16" s="367"/>
      <c r="V16" s="368"/>
      <c r="W16" s="127"/>
    </row>
    <row r="17" spans="1:23" ht="33" customHeight="1" x14ac:dyDescent="0.2">
      <c r="A17" s="128"/>
      <c r="P17" s="369"/>
      <c r="Q17" s="370"/>
      <c r="R17" s="370"/>
      <c r="S17" s="370"/>
      <c r="T17" s="370"/>
      <c r="U17" s="370"/>
      <c r="V17" s="371"/>
      <c r="W17" s="127"/>
    </row>
    <row r="18" spans="1:23" ht="56.25" customHeight="1" x14ac:dyDescent="0.2">
      <c r="A18" s="128"/>
      <c r="P18" s="372"/>
      <c r="Q18" s="373"/>
      <c r="R18" s="373"/>
      <c r="S18" s="373"/>
      <c r="T18" s="373"/>
      <c r="U18" s="373"/>
      <c r="V18" s="374"/>
      <c r="W18" s="127"/>
    </row>
    <row r="19" spans="1:23" ht="9.75" customHeight="1" x14ac:dyDescent="0.2">
      <c r="A19" s="128"/>
      <c r="W19" s="127"/>
    </row>
    <row r="20" spans="1:23" s="135" customFormat="1" ht="19.5" customHeight="1" x14ac:dyDescent="0.3">
      <c r="A20" s="137"/>
      <c r="P20" s="362" t="s">
        <v>193</v>
      </c>
      <c r="Q20" s="363"/>
      <c r="R20" s="363"/>
      <c r="S20" s="363"/>
      <c r="T20" s="363"/>
      <c r="U20" s="363"/>
      <c r="V20" s="364"/>
      <c r="W20" s="136"/>
    </row>
    <row r="21" spans="1:23" s="135" customFormat="1" ht="19.5" customHeight="1" x14ac:dyDescent="0.3">
      <c r="A21" s="137"/>
      <c r="P21" s="322" t="s">
        <v>194</v>
      </c>
      <c r="Q21" s="323"/>
      <c r="R21" s="323"/>
      <c r="S21" s="323"/>
      <c r="T21" s="323"/>
      <c r="U21" s="323"/>
      <c r="V21" s="324"/>
      <c r="W21" s="136"/>
    </row>
    <row r="22" spans="1:23" ht="24.75" customHeight="1" x14ac:dyDescent="0.2">
      <c r="A22" s="128"/>
      <c r="P22" s="145"/>
      <c r="Q22" s="144"/>
      <c r="R22" s="144"/>
      <c r="S22" s="144"/>
      <c r="T22" s="144"/>
      <c r="U22" s="144"/>
      <c r="V22" s="143"/>
      <c r="W22" s="127"/>
    </row>
    <row r="23" spans="1:23" ht="24.75" customHeight="1" x14ac:dyDescent="0.2">
      <c r="A23" s="128"/>
      <c r="P23" s="142"/>
      <c r="V23" s="141"/>
      <c r="W23" s="127"/>
    </row>
    <row r="24" spans="1:23" ht="24.75" customHeight="1" x14ac:dyDescent="0.2">
      <c r="A24" s="128"/>
      <c r="P24" s="140"/>
      <c r="Q24" s="139"/>
      <c r="R24" s="139"/>
      <c r="S24" s="139"/>
      <c r="T24" s="139"/>
      <c r="U24" s="139"/>
      <c r="V24" s="138"/>
      <c r="W24" s="127"/>
    </row>
    <row r="25" spans="1:23" ht="9.75" customHeight="1" x14ac:dyDescent="0.2">
      <c r="A25" s="128"/>
      <c r="W25" s="127"/>
    </row>
    <row r="26" spans="1:23" s="135" customFormat="1" ht="19.5" customHeight="1" x14ac:dyDescent="0.3">
      <c r="A26" s="137"/>
      <c r="P26" s="375" t="s">
        <v>171</v>
      </c>
      <c r="Q26" s="363"/>
      <c r="R26" s="363"/>
      <c r="S26" s="363"/>
      <c r="T26" s="363"/>
      <c r="U26" s="363"/>
      <c r="V26" s="364"/>
      <c r="W26" s="136"/>
    </row>
    <row r="27" spans="1:23" s="135" customFormat="1" ht="19.5" customHeight="1" x14ac:dyDescent="0.3">
      <c r="A27" s="137"/>
      <c r="P27" s="322" t="s">
        <v>179</v>
      </c>
      <c r="Q27" s="323"/>
      <c r="R27" s="323"/>
      <c r="S27" s="323"/>
      <c r="T27" s="323"/>
      <c r="U27" s="323"/>
      <c r="V27" s="324"/>
      <c r="W27" s="136"/>
    </row>
    <row r="28" spans="1:23" ht="24.75" customHeight="1" x14ac:dyDescent="0.2">
      <c r="A28" s="128"/>
      <c r="P28" s="376" t="s">
        <v>202</v>
      </c>
      <c r="Q28" s="377"/>
      <c r="R28" s="377"/>
      <c r="S28" s="377"/>
      <c r="T28" s="377"/>
      <c r="U28" s="377"/>
      <c r="V28" s="378"/>
      <c r="W28" s="127"/>
    </row>
    <row r="29" spans="1:23" ht="24.75" customHeight="1" x14ac:dyDescent="0.2">
      <c r="A29" s="128"/>
      <c r="P29" s="379"/>
      <c r="Q29" s="380"/>
      <c r="R29" s="380"/>
      <c r="S29" s="380"/>
      <c r="T29" s="380"/>
      <c r="U29" s="380"/>
      <c r="V29" s="381"/>
      <c r="W29" s="127"/>
    </row>
    <row r="30" spans="1:23" ht="24.75" customHeight="1" x14ac:dyDescent="0.2">
      <c r="A30" s="128"/>
      <c r="P30" s="382"/>
      <c r="Q30" s="383"/>
      <c r="R30" s="383"/>
      <c r="S30" s="383"/>
      <c r="T30" s="383"/>
      <c r="U30" s="383"/>
      <c r="V30" s="384"/>
      <c r="W30" s="127"/>
    </row>
    <row r="31" spans="1:23" ht="9.75" customHeight="1" x14ac:dyDescent="0.2">
      <c r="A31" s="128"/>
      <c r="W31" s="127"/>
    </row>
    <row r="32" spans="1:23" ht="24" customHeight="1" x14ac:dyDescent="0.2">
      <c r="A32" s="128"/>
      <c r="B32" s="389" t="s">
        <v>192</v>
      </c>
      <c r="C32" s="390"/>
      <c r="D32" s="390"/>
      <c r="E32" s="390"/>
      <c r="F32" s="390"/>
      <c r="G32" s="390"/>
      <c r="H32" s="390"/>
      <c r="I32" s="390"/>
      <c r="J32" s="390"/>
      <c r="K32" s="390"/>
      <c r="L32" s="390"/>
      <c r="M32" s="390"/>
      <c r="N32" s="390"/>
      <c r="O32" s="390"/>
      <c r="P32" s="390"/>
      <c r="Q32" s="390"/>
      <c r="R32" s="385" t="s">
        <v>191</v>
      </c>
      <c r="S32" s="385"/>
      <c r="T32" s="385"/>
      <c r="U32" s="385"/>
      <c r="V32" s="386"/>
      <c r="W32" s="127"/>
    </row>
    <row r="33" spans="1:23" ht="24" customHeight="1" x14ac:dyDescent="0.2">
      <c r="A33" s="128"/>
      <c r="B33" s="391"/>
      <c r="C33" s="392"/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  <c r="O33" s="392"/>
      <c r="P33" s="392"/>
      <c r="Q33" s="392"/>
      <c r="R33" s="387"/>
      <c r="S33" s="387"/>
      <c r="T33" s="387"/>
      <c r="U33" s="387"/>
      <c r="V33" s="388"/>
      <c r="W33" s="127"/>
    </row>
    <row r="34" spans="1:23" ht="11.25" customHeight="1" x14ac:dyDescent="0.2">
      <c r="A34" s="128"/>
      <c r="W34" s="127"/>
    </row>
    <row r="35" spans="1:23" s="132" customFormat="1" ht="14.25" customHeight="1" x14ac:dyDescent="0.25">
      <c r="A35" s="134"/>
      <c r="B35" s="356" t="s">
        <v>219</v>
      </c>
      <c r="C35" s="357"/>
      <c r="D35" s="357"/>
      <c r="E35" s="357"/>
      <c r="F35" s="357"/>
      <c r="G35" s="357"/>
      <c r="H35" s="357"/>
      <c r="I35" s="357"/>
      <c r="J35" s="357"/>
      <c r="K35" s="357"/>
      <c r="L35" s="357"/>
      <c r="M35" s="357"/>
      <c r="N35" s="357"/>
      <c r="O35" s="357"/>
      <c r="P35" s="357"/>
      <c r="Q35" s="357"/>
      <c r="R35" s="357"/>
      <c r="S35" s="358"/>
      <c r="T35" s="328" t="s">
        <v>189</v>
      </c>
      <c r="U35" s="320"/>
      <c r="V35" s="321"/>
      <c r="W35" s="133"/>
    </row>
    <row r="36" spans="1:23" ht="14.25" customHeight="1" x14ac:dyDescent="0.2">
      <c r="A36" s="128"/>
      <c r="B36" s="359"/>
      <c r="C36" s="360"/>
      <c r="D36" s="360"/>
      <c r="E36" s="360"/>
      <c r="F36" s="360"/>
      <c r="G36" s="360"/>
      <c r="H36" s="360"/>
      <c r="I36" s="360"/>
      <c r="J36" s="360"/>
      <c r="K36" s="360"/>
      <c r="L36" s="360"/>
      <c r="M36" s="360"/>
      <c r="N36" s="360"/>
      <c r="O36" s="360"/>
      <c r="P36" s="360"/>
      <c r="Q36" s="360"/>
      <c r="R36" s="360"/>
      <c r="S36" s="361"/>
      <c r="T36" s="312" t="s">
        <v>190</v>
      </c>
      <c r="U36" s="313"/>
      <c r="V36" s="314"/>
      <c r="W36" s="127"/>
    </row>
    <row r="37" spans="1:23" ht="24" customHeight="1" x14ac:dyDescent="0.2">
      <c r="A37" s="128"/>
      <c r="B37" s="359"/>
      <c r="C37" s="360"/>
      <c r="D37" s="360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1"/>
      <c r="T37" s="326" t="s">
        <v>188</v>
      </c>
      <c r="U37" s="327"/>
      <c r="V37" s="327"/>
      <c r="W37" s="127"/>
    </row>
    <row r="38" spans="1:23" ht="9.75" customHeight="1" x14ac:dyDescent="0.2">
      <c r="A38" s="128"/>
      <c r="B38" s="359"/>
      <c r="C38" s="360"/>
      <c r="D38" s="360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360"/>
      <c r="Q38" s="360"/>
      <c r="R38" s="360"/>
      <c r="S38" s="361"/>
      <c r="W38" s="127"/>
    </row>
    <row r="39" spans="1:23" s="132" customFormat="1" ht="14.25" customHeight="1" x14ac:dyDescent="0.25">
      <c r="A39" s="134"/>
      <c r="B39" s="359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360"/>
      <c r="Q39" s="360"/>
      <c r="R39" s="360"/>
      <c r="S39" s="361"/>
      <c r="T39" s="319" t="s">
        <v>186</v>
      </c>
      <c r="U39" s="320"/>
      <c r="V39" s="321"/>
      <c r="W39" s="133"/>
    </row>
    <row r="40" spans="1:23" ht="14.25" customHeight="1" x14ac:dyDescent="0.2">
      <c r="A40" s="12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0"/>
      <c r="M40" s="360"/>
      <c r="N40" s="360"/>
      <c r="O40" s="360"/>
      <c r="P40" s="360"/>
      <c r="Q40" s="360"/>
      <c r="R40" s="360"/>
      <c r="S40" s="361"/>
      <c r="T40" s="312" t="s">
        <v>187</v>
      </c>
      <c r="U40" s="313"/>
      <c r="V40" s="314"/>
      <c r="W40" s="127"/>
    </row>
    <row r="41" spans="1:23" ht="24" customHeight="1" x14ac:dyDescent="0.2">
      <c r="A41" s="128"/>
      <c r="B41" s="359"/>
      <c r="C41" s="360"/>
      <c r="D41" s="360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/>
      <c r="P41" s="360"/>
      <c r="Q41" s="360"/>
      <c r="R41" s="360"/>
      <c r="S41" s="361"/>
      <c r="T41" s="331" t="s">
        <v>27</v>
      </c>
      <c r="U41" s="331"/>
      <c r="V41" s="332"/>
      <c r="W41" s="127"/>
    </row>
    <row r="42" spans="1:23" ht="9.75" customHeight="1" x14ac:dyDescent="0.2">
      <c r="A42" s="128"/>
      <c r="B42" s="359"/>
      <c r="C42" s="360"/>
      <c r="D42" s="360"/>
      <c r="E42" s="360"/>
      <c r="F42" s="360"/>
      <c r="G42" s="360"/>
      <c r="H42" s="360"/>
      <c r="I42" s="360"/>
      <c r="J42" s="360"/>
      <c r="K42" s="360"/>
      <c r="L42" s="360"/>
      <c r="M42" s="360"/>
      <c r="N42" s="360"/>
      <c r="O42" s="360"/>
      <c r="P42" s="360"/>
      <c r="Q42" s="360"/>
      <c r="R42" s="360"/>
      <c r="S42" s="361"/>
      <c r="W42" s="127"/>
    </row>
    <row r="43" spans="1:23" s="132" customFormat="1" ht="14.25" customHeight="1" x14ac:dyDescent="0.25">
      <c r="A43" s="134"/>
      <c r="B43" s="335" t="s">
        <v>215</v>
      </c>
      <c r="C43" s="336"/>
      <c r="D43" s="336"/>
      <c r="E43" s="336"/>
      <c r="F43" s="336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7"/>
      <c r="T43" s="328" t="s">
        <v>184</v>
      </c>
      <c r="U43" s="320"/>
      <c r="V43" s="321"/>
      <c r="W43" s="133"/>
    </row>
    <row r="44" spans="1:23" ht="14.25" customHeight="1" x14ac:dyDescent="0.2">
      <c r="A44" s="128"/>
      <c r="B44" s="335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7"/>
      <c r="T44" s="312" t="s">
        <v>185</v>
      </c>
      <c r="U44" s="313"/>
      <c r="V44" s="314"/>
      <c r="W44" s="127"/>
    </row>
    <row r="45" spans="1:23" ht="24" customHeight="1" x14ac:dyDescent="0.2">
      <c r="A45" s="128"/>
      <c r="B45" s="335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7"/>
      <c r="T45" s="329" t="s">
        <v>111</v>
      </c>
      <c r="U45" s="330"/>
      <c r="V45" s="330"/>
      <c r="W45" s="127"/>
    </row>
    <row r="46" spans="1:23" ht="9.75" customHeight="1" x14ac:dyDescent="0.2">
      <c r="A46" s="128"/>
      <c r="B46" s="335"/>
      <c r="C46" s="336"/>
      <c r="D46" s="336"/>
      <c r="E46" s="336"/>
      <c r="F46" s="336"/>
      <c r="G46" s="336"/>
      <c r="H46" s="336"/>
      <c r="I46" s="336"/>
      <c r="J46" s="336"/>
      <c r="K46" s="336"/>
      <c r="L46" s="336"/>
      <c r="M46" s="336"/>
      <c r="N46" s="336"/>
      <c r="O46" s="336"/>
      <c r="P46" s="336"/>
      <c r="Q46" s="336"/>
      <c r="R46" s="336"/>
      <c r="S46" s="337"/>
      <c r="W46" s="127"/>
    </row>
    <row r="47" spans="1:23" s="132" customFormat="1" ht="14.25" customHeight="1" x14ac:dyDescent="0.25">
      <c r="A47" s="134"/>
      <c r="B47" s="335"/>
      <c r="C47" s="336"/>
      <c r="D47" s="336"/>
      <c r="E47" s="336"/>
      <c r="F47" s="336"/>
      <c r="G47" s="336"/>
      <c r="H47" s="336"/>
      <c r="I47" s="336"/>
      <c r="J47" s="336"/>
      <c r="K47" s="336"/>
      <c r="L47" s="336"/>
      <c r="M47" s="336"/>
      <c r="N47" s="336"/>
      <c r="O47" s="336"/>
      <c r="P47" s="336"/>
      <c r="Q47" s="336"/>
      <c r="R47" s="336"/>
      <c r="S47" s="337"/>
      <c r="T47" s="319" t="s">
        <v>182</v>
      </c>
      <c r="U47" s="320"/>
      <c r="V47" s="321"/>
      <c r="W47" s="133"/>
    </row>
    <row r="48" spans="1:23" ht="14.25" customHeight="1" x14ac:dyDescent="0.2">
      <c r="A48" s="128"/>
      <c r="B48" s="335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7"/>
      <c r="T48" s="312" t="s">
        <v>183</v>
      </c>
      <c r="U48" s="313"/>
      <c r="V48" s="314"/>
      <c r="W48" s="127"/>
    </row>
    <row r="49" spans="1:23" ht="24" customHeight="1" x14ac:dyDescent="0.2">
      <c r="A49" s="128"/>
      <c r="B49" s="338"/>
      <c r="C49" s="339"/>
      <c r="D49" s="339"/>
      <c r="E49" s="339"/>
      <c r="F49" s="339"/>
      <c r="G49" s="339"/>
      <c r="H49" s="339"/>
      <c r="I49" s="339"/>
      <c r="J49" s="339"/>
      <c r="K49" s="339"/>
      <c r="L49" s="339"/>
      <c r="M49" s="339"/>
      <c r="N49" s="339"/>
      <c r="O49" s="339"/>
      <c r="P49" s="339"/>
      <c r="Q49" s="339"/>
      <c r="R49" s="339"/>
      <c r="S49" s="340"/>
      <c r="T49" s="333">
        <v>44531</v>
      </c>
      <c r="U49" s="334"/>
      <c r="V49" s="334"/>
      <c r="W49" s="127"/>
    </row>
    <row r="50" spans="1:23" ht="8.25" customHeight="1" x14ac:dyDescent="0.2">
      <c r="A50" s="128"/>
      <c r="W50" s="127"/>
    </row>
    <row r="51" spans="1:23" s="132" customFormat="1" ht="18.75" customHeight="1" x14ac:dyDescent="0.25">
      <c r="A51" s="134"/>
      <c r="B51" s="325" t="s">
        <v>173</v>
      </c>
      <c r="C51" s="318"/>
      <c r="D51" s="318"/>
      <c r="E51" s="318" t="s">
        <v>172</v>
      </c>
      <c r="F51" s="318"/>
      <c r="G51" s="318"/>
      <c r="H51" s="318" t="s">
        <v>171</v>
      </c>
      <c r="I51" s="318"/>
      <c r="J51" s="318" t="s">
        <v>170</v>
      </c>
      <c r="K51" s="318"/>
      <c r="L51" s="325" t="s">
        <v>169</v>
      </c>
      <c r="M51" s="318"/>
      <c r="N51" s="318" t="s">
        <v>168</v>
      </c>
      <c r="O51" s="318"/>
      <c r="P51" s="318" t="s">
        <v>167</v>
      </c>
      <c r="Q51" s="318"/>
      <c r="R51" s="318"/>
      <c r="S51" s="318"/>
      <c r="T51" s="318"/>
      <c r="U51" s="318" t="s">
        <v>166</v>
      </c>
      <c r="V51" s="318"/>
      <c r="W51" s="133"/>
    </row>
    <row r="52" spans="1:23" s="129" customFormat="1" ht="18.75" customHeight="1" x14ac:dyDescent="0.25">
      <c r="A52" s="131"/>
      <c r="B52" s="316" t="s">
        <v>181</v>
      </c>
      <c r="C52" s="317"/>
      <c r="D52" s="317"/>
      <c r="E52" s="317" t="s">
        <v>180</v>
      </c>
      <c r="F52" s="317"/>
      <c r="G52" s="317"/>
      <c r="H52" s="317" t="s">
        <v>179</v>
      </c>
      <c r="I52" s="317"/>
      <c r="J52" s="317" t="s">
        <v>178</v>
      </c>
      <c r="K52" s="317"/>
      <c r="L52" s="317" t="s">
        <v>177</v>
      </c>
      <c r="M52" s="317"/>
      <c r="N52" s="317" t="s">
        <v>176</v>
      </c>
      <c r="O52" s="317"/>
      <c r="P52" s="317" t="s">
        <v>175</v>
      </c>
      <c r="Q52" s="317"/>
      <c r="R52" s="317"/>
      <c r="S52" s="317"/>
      <c r="T52" s="317"/>
      <c r="U52" s="316" t="s">
        <v>174</v>
      </c>
      <c r="V52" s="317"/>
      <c r="W52" s="130"/>
    </row>
    <row r="53" spans="1:23" ht="33" customHeight="1" x14ac:dyDescent="0.2">
      <c r="A53" s="128"/>
      <c r="B53" s="166" t="s">
        <v>78</v>
      </c>
      <c r="C53" s="167" t="s">
        <v>228</v>
      </c>
      <c r="D53" s="168" t="s">
        <v>102</v>
      </c>
      <c r="E53" s="166" t="s">
        <v>163</v>
      </c>
      <c r="F53" s="167" t="s">
        <v>123</v>
      </c>
      <c r="G53" s="168" t="s">
        <v>165</v>
      </c>
      <c r="H53" s="166">
        <v>0</v>
      </c>
      <c r="I53" s="168">
        <v>0</v>
      </c>
      <c r="J53" s="166" t="s">
        <v>164</v>
      </c>
      <c r="K53" s="168" t="s">
        <v>163</v>
      </c>
      <c r="L53" s="169" t="s">
        <v>102</v>
      </c>
      <c r="M53" s="170" t="s">
        <v>160</v>
      </c>
      <c r="N53" s="169" t="s">
        <v>162</v>
      </c>
      <c r="O53" s="170" t="s">
        <v>162</v>
      </c>
      <c r="P53" s="166" t="s">
        <v>160</v>
      </c>
      <c r="Q53" s="167" t="s">
        <v>160</v>
      </c>
      <c r="R53" s="167" t="s">
        <v>204</v>
      </c>
      <c r="S53" s="167" t="s">
        <v>204</v>
      </c>
      <c r="T53" s="168" t="s">
        <v>160</v>
      </c>
      <c r="U53" s="315" t="s">
        <v>102</v>
      </c>
      <c r="V53" s="315"/>
      <c r="W53" s="127"/>
    </row>
    <row r="54" spans="1:23" ht="12" customHeight="1" thickBot="1" x14ac:dyDescent="0.25">
      <c r="A54" s="126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4"/>
    </row>
  </sheetData>
  <sheetProtection autoFilter="0"/>
  <mergeCells count="45">
    <mergeCell ref="B2:V6"/>
    <mergeCell ref="B7:V9"/>
    <mergeCell ref="B10:V12"/>
    <mergeCell ref="T35:V35"/>
    <mergeCell ref="T36:V36"/>
    <mergeCell ref="B35:S42"/>
    <mergeCell ref="P14:V14"/>
    <mergeCell ref="P15:V15"/>
    <mergeCell ref="P16:V17"/>
    <mergeCell ref="P18:V18"/>
    <mergeCell ref="P20:V20"/>
    <mergeCell ref="P21:V21"/>
    <mergeCell ref="P26:V26"/>
    <mergeCell ref="P28:V30"/>
    <mergeCell ref="R32:V33"/>
    <mergeCell ref="B32:Q33"/>
    <mergeCell ref="P27:V27"/>
    <mergeCell ref="L51:M51"/>
    <mergeCell ref="P51:T51"/>
    <mergeCell ref="T37:V37"/>
    <mergeCell ref="U51:V51"/>
    <mergeCell ref="N51:O51"/>
    <mergeCell ref="T39:V39"/>
    <mergeCell ref="T43:V43"/>
    <mergeCell ref="T44:V44"/>
    <mergeCell ref="T45:V45"/>
    <mergeCell ref="T41:V41"/>
    <mergeCell ref="T49:V49"/>
    <mergeCell ref="B43:S49"/>
    <mergeCell ref="B51:D51"/>
    <mergeCell ref="E51:G51"/>
    <mergeCell ref="H51:I51"/>
    <mergeCell ref="T40:V40"/>
    <mergeCell ref="U53:V53"/>
    <mergeCell ref="B52:D52"/>
    <mergeCell ref="E52:G52"/>
    <mergeCell ref="H52:I52"/>
    <mergeCell ref="J52:K52"/>
    <mergeCell ref="L52:M52"/>
    <mergeCell ref="N52:O52"/>
    <mergeCell ref="P52:T52"/>
    <mergeCell ref="U52:V52"/>
    <mergeCell ref="J51:K51"/>
    <mergeCell ref="T47:V47"/>
    <mergeCell ref="T48:V48"/>
  </mergeCells>
  <printOptions horizontalCentered="1" verticalCentered="1"/>
  <pageMargins left="0.25" right="0.25" top="0.25" bottom="0.25" header="0.05" footer="0.05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70CFC-21A9-4E0D-BC37-2214F9C803E4}">
  <sheetPr codeName="Sheet7"/>
  <dimension ref="A1:F37"/>
  <sheetViews>
    <sheetView view="pageBreakPreview" topLeftCell="A7" zoomScale="70" zoomScaleNormal="55" zoomScaleSheetLayoutView="70" workbookViewId="0">
      <selection activeCell="F37" sqref="F37"/>
    </sheetView>
  </sheetViews>
  <sheetFormatPr defaultColWidth="11.42578125" defaultRowHeight="15.75" x14ac:dyDescent="0.25"/>
  <cols>
    <col min="1" max="1" width="2.28515625" style="150" customWidth="1"/>
    <col min="2" max="2" width="30.7109375" style="150" customWidth="1"/>
    <col min="3" max="3" width="32.140625" style="150" customWidth="1"/>
    <col min="4" max="4" width="36.140625" style="150" customWidth="1"/>
    <col min="5" max="5" width="2.28515625" style="150" customWidth="1"/>
    <col min="6" max="6" width="11.85546875" style="150" customWidth="1"/>
    <col min="7" max="16384" width="11.42578125" style="150"/>
  </cols>
  <sheetData>
    <row r="1" spans="1:6" x14ac:dyDescent="0.25">
      <c r="A1" s="164"/>
      <c r="B1" s="163"/>
      <c r="C1" s="163"/>
      <c r="D1" s="162"/>
      <c r="F1" s="161"/>
    </row>
    <row r="2" spans="1:6" ht="18.75" x14ac:dyDescent="0.3">
      <c r="A2" s="156"/>
      <c r="B2" s="155"/>
      <c r="C2" s="160"/>
      <c r="D2" s="154"/>
    </row>
    <row r="3" spans="1:6" ht="18.75" x14ac:dyDescent="0.3">
      <c r="A3" s="156"/>
      <c r="B3" s="155"/>
      <c r="C3" s="160"/>
      <c r="D3" s="154"/>
    </row>
    <row r="4" spans="1:6" x14ac:dyDescent="0.25">
      <c r="A4" s="156"/>
      <c r="B4" s="155"/>
      <c r="C4" s="155"/>
      <c r="D4" s="154"/>
    </row>
    <row r="5" spans="1:6" x14ac:dyDescent="0.25">
      <c r="A5" s="156"/>
      <c r="B5" s="155"/>
      <c r="C5" s="155"/>
      <c r="D5" s="154"/>
    </row>
    <row r="6" spans="1:6" x14ac:dyDescent="0.25">
      <c r="A6" s="156"/>
      <c r="B6" s="155"/>
      <c r="C6" s="155"/>
      <c r="D6" s="154"/>
    </row>
    <row r="7" spans="1:6" ht="9.6" customHeight="1" x14ac:dyDescent="0.25">
      <c r="A7" s="156"/>
      <c r="B7" s="155"/>
      <c r="C7" s="155"/>
      <c r="D7" s="154"/>
    </row>
    <row r="8" spans="1:6" ht="93" customHeight="1" x14ac:dyDescent="0.25">
      <c r="A8" s="156"/>
      <c r="B8" s="397" t="s">
        <v>340</v>
      </c>
      <c r="C8" s="398"/>
      <c r="D8" s="399"/>
    </row>
    <row r="9" spans="1:6" ht="33.75" customHeight="1" x14ac:dyDescent="0.25">
      <c r="A9" s="156"/>
      <c r="B9" s="393" t="s">
        <v>198</v>
      </c>
      <c r="C9" s="393"/>
      <c r="D9" s="394"/>
    </row>
    <row r="10" spans="1:6" ht="8.25" customHeight="1" x14ac:dyDescent="0.25">
      <c r="A10" s="156"/>
      <c r="B10" s="158"/>
      <c r="C10" s="165"/>
      <c r="D10" s="157"/>
    </row>
    <row r="11" spans="1:6" ht="27.75" customHeight="1" x14ac:dyDescent="0.25">
      <c r="A11" s="156"/>
      <c r="B11" s="158"/>
      <c r="C11" s="159"/>
      <c r="D11" s="157"/>
    </row>
    <row r="12" spans="1:6" ht="27.75" customHeight="1" x14ac:dyDescent="0.25">
      <c r="A12" s="156"/>
      <c r="B12" s="158"/>
      <c r="C12" s="158"/>
      <c r="D12" s="157"/>
    </row>
    <row r="13" spans="1:6" ht="93" customHeight="1" x14ac:dyDescent="0.25">
      <c r="A13" s="156"/>
      <c r="B13" s="398" t="s">
        <v>341</v>
      </c>
      <c r="C13" s="400"/>
      <c r="D13" s="401"/>
    </row>
    <row r="14" spans="1:6" ht="5.25" customHeight="1" x14ac:dyDescent="0.25">
      <c r="A14" s="156"/>
      <c r="B14" s="158"/>
      <c r="C14" s="158"/>
      <c r="D14" s="157"/>
    </row>
    <row r="15" spans="1:6" ht="33.75" customHeight="1" x14ac:dyDescent="0.25">
      <c r="A15" s="156"/>
      <c r="B15" s="395" t="s">
        <v>197</v>
      </c>
      <c r="C15" s="395"/>
      <c r="D15" s="396"/>
    </row>
    <row r="16" spans="1:6" ht="20.45" customHeight="1" x14ac:dyDescent="0.25">
      <c r="A16" s="156"/>
      <c r="B16" s="402"/>
      <c r="C16" s="402"/>
      <c r="D16" s="403"/>
    </row>
    <row r="17" spans="1:4" x14ac:dyDescent="0.25">
      <c r="A17" s="156"/>
      <c r="B17" s="155"/>
      <c r="C17" s="155"/>
      <c r="D17" s="154"/>
    </row>
    <row r="18" spans="1:4" x14ac:dyDescent="0.25">
      <c r="A18" s="156"/>
      <c r="B18" s="155"/>
      <c r="C18" s="155"/>
      <c r="D18" s="154"/>
    </row>
    <row r="19" spans="1:4" x14ac:dyDescent="0.25">
      <c r="A19" s="156"/>
      <c r="B19" s="155"/>
      <c r="C19" s="155"/>
      <c r="D19" s="154"/>
    </row>
    <row r="20" spans="1:4" x14ac:dyDescent="0.25">
      <c r="A20" s="156"/>
      <c r="B20" s="155"/>
      <c r="C20" s="155"/>
      <c r="D20" s="154"/>
    </row>
    <row r="21" spans="1:4" x14ac:dyDescent="0.25">
      <c r="A21" s="156"/>
      <c r="B21" s="155"/>
      <c r="C21" s="155"/>
      <c r="D21" s="154"/>
    </row>
    <row r="22" spans="1:4" x14ac:dyDescent="0.25">
      <c r="A22" s="156"/>
      <c r="B22" s="155"/>
      <c r="C22" s="155"/>
      <c r="D22" s="154"/>
    </row>
    <row r="23" spans="1:4" x14ac:dyDescent="0.25">
      <c r="A23" s="156"/>
      <c r="B23" s="155"/>
      <c r="C23" s="155"/>
      <c r="D23" s="154"/>
    </row>
    <row r="24" spans="1:4" x14ac:dyDescent="0.25">
      <c r="A24" s="156"/>
      <c r="B24" s="155"/>
      <c r="C24" s="155"/>
      <c r="D24" s="154"/>
    </row>
    <row r="25" spans="1:4" x14ac:dyDescent="0.25">
      <c r="A25" s="156"/>
      <c r="B25" s="155"/>
      <c r="C25" s="155"/>
      <c r="D25" s="154"/>
    </row>
    <row r="26" spans="1:4" x14ac:dyDescent="0.25">
      <c r="A26" s="156"/>
      <c r="B26" s="155"/>
      <c r="C26" s="155"/>
      <c r="D26" s="154"/>
    </row>
    <row r="27" spans="1:4" x14ac:dyDescent="0.25">
      <c r="A27" s="156"/>
      <c r="B27" s="155"/>
      <c r="C27" s="155"/>
      <c r="D27" s="154"/>
    </row>
    <row r="28" spans="1:4" x14ac:dyDescent="0.25">
      <c r="A28" s="156"/>
      <c r="B28" s="155"/>
      <c r="C28" s="155"/>
      <c r="D28" s="154"/>
    </row>
    <row r="29" spans="1:4" x14ac:dyDescent="0.25">
      <c r="A29" s="156"/>
      <c r="B29" s="155"/>
      <c r="C29" s="155"/>
      <c r="D29" s="154"/>
    </row>
    <row r="30" spans="1:4" x14ac:dyDescent="0.25">
      <c r="A30" s="156"/>
      <c r="B30" s="155"/>
      <c r="C30" s="155"/>
      <c r="D30" s="154"/>
    </row>
    <row r="31" spans="1:4" x14ac:dyDescent="0.25">
      <c r="A31" s="156"/>
      <c r="B31" s="155"/>
      <c r="C31" s="155"/>
      <c r="D31" s="154"/>
    </row>
    <row r="32" spans="1:4" x14ac:dyDescent="0.25">
      <c r="A32" s="156"/>
      <c r="B32" s="155"/>
      <c r="C32" s="155"/>
      <c r="D32" s="154"/>
    </row>
    <row r="33" spans="1:4" x14ac:dyDescent="0.25">
      <c r="A33" s="156"/>
      <c r="B33" s="155"/>
      <c r="C33" s="155"/>
      <c r="D33" s="154"/>
    </row>
    <row r="34" spans="1:4" x14ac:dyDescent="0.25">
      <c r="A34" s="156"/>
      <c r="B34" s="155"/>
      <c r="C34" s="155"/>
      <c r="D34" s="154"/>
    </row>
    <row r="35" spans="1:4" x14ac:dyDescent="0.25">
      <c r="A35" s="156"/>
      <c r="B35" s="155"/>
      <c r="C35" s="155"/>
      <c r="D35" s="154"/>
    </row>
    <row r="36" spans="1:4" x14ac:dyDescent="0.25">
      <c r="A36" s="156"/>
      <c r="B36" s="155"/>
      <c r="C36" s="155"/>
      <c r="D36" s="154"/>
    </row>
    <row r="37" spans="1:4" x14ac:dyDescent="0.25">
      <c r="A37" s="153"/>
      <c r="B37" s="152"/>
      <c r="C37" s="152"/>
      <c r="D37" s="151"/>
    </row>
  </sheetData>
  <sheetProtection autoFilter="0"/>
  <mergeCells count="5">
    <mergeCell ref="B9:D9"/>
    <mergeCell ref="B15:D15"/>
    <mergeCell ref="B8:D8"/>
    <mergeCell ref="B13:D13"/>
    <mergeCell ref="B16:D16"/>
  </mergeCells>
  <printOptions horizontalCentered="1" verticalCentered="1"/>
  <pageMargins left="0.25" right="0.25" top="0.75" bottom="0.75" header="0.3" footer="0.3"/>
  <pageSetup paperSize="9" scale="9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E1A12-93A0-4BA2-8DD0-C04584B3D54A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DATABASE</vt:lpstr>
      <vt:lpstr>AllZones</vt:lpstr>
      <vt:lpstr>format</vt:lpstr>
      <vt:lpstr>old format</vt:lpstr>
      <vt:lpstr>data</vt:lpstr>
      <vt:lpstr>cartouche</vt:lpstr>
      <vt:lpstr>cover</vt:lpstr>
      <vt:lpstr>test</vt:lpstr>
      <vt:lpstr>cartouche!Print_Area</vt:lpstr>
      <vt:lpstr>cover!Print_Area</vt:lpstr>
      <vt:lpstr>format!Print_Area</vt:lpstr>
      <vt:lpstr>'old format'!Print_Area</vt:lpstr>
      <vt:lpstr>format!Print_Titles</vt:lpstr>
      <vt:lpstr>'old format'!Print_Titles</vt:lpstr>
      <vt:lpstr>rngClient</vt:lpstr>
      <vt:lpstr>rngContractor</vt:lpstr>
      <vt:lpstr>rngExploitant</vt:lpstr>
      <vt:lpstr>rngPlanImage</vt:lpstr>
      <vt:lpstr>rngRepresentantBYTK</vt:lpstr>
      <vt:lpstr>rngRepresentantCLIENT</vt:lpstr>
    </vt:vector>
  </TitlesOfParts>
  <Company>BOUYGUES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a.soyunjaliyev@bouygues-construction.com</dc:creator>
  <cp:lastModifiedBy>SOYUNJALIYEV, Amanmyrat (BI-TURKMENISTAN)</cp:lastModifiedBy>
  <cp:lastPrinted>2021-01-14T07:00:11Z</cp:lastPrinted>
  <dcterms:created xsi:type="dcterms:W3CDTF">2011-08-10T09:56:14Z</dcterms:created>
  <dcterms:modified xsi:type="dcterms:W3CDTF">2021-02-24T10:31:52Z</dcterms:modified>
</cp:coreProperties>
</file>